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\●과제 기획\[AI담수화]\사업비 편성\"/>
    </mc:Choice>
  </mc:AlternateContent>
  <xr:revisionPtr revIDLastSave="0" documentId="13_ncr:1_{AC7A2C9A-F669-4D2A-932B-9167399DF52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총괄" sheetId="1" r:id="rId1"/>
    <sheet name="인건비" sheetId="2" r:id="rId2"/>
    <sheet name="직접비" sheetId="3" r:id="rId3"/>
  </sheets>
  <definedNames>
    <definedName name="_xlnm.Print_Area" localSheetId="1">인건비!$A$1:$N$11</definedName>
    <definedName name="_xlnm.Print_Area" localSheetId="2">직접비!$A$1:$K$59</definedName>
    <definedName name="_xlnm.Print_Area" localSheetId="0">총괄!$A$1:$J$14</definedName>
    <definedName name="solver_adj" localSheetId="1" hidden="1">인건비!#REF!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인건비!#REF!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3</definedName>
    <definedName name="solver_val" localSheetId="1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" i="1" l="1"/>
  <c r="G18" i="1"/>
  <c r="I18" i="1" s="1"/>
  <c r="K28" i="1"/>
  <c r="K43" i="1"/>
  <c r="K35" i="1"/>
  <c r="K36" i="1"/>
  <c r="K37" i="1"/>
  <c r="K39" i="1"/>
  <c r="K40" i="1"/>
  <c r="K41" i="1"/>
  <c r="K42" i="1"/>
  <c r="K27" i="1"/>
  <c r="K29" i="1"/>
  <c r="K30" i="1"/>
  <c r="K31" i="1"/>
  <c r="K32" i="1"/>
  <c r="K33" i="1"/>
  <c r="K34" i="1"/>
  <c r="K26" i="1"/>
  <c r="J42" i="1"/>
  <c r="J43" i="1" s="1"/>
  <c r="J40" i="1"/>
  <c r="J34" i="1"/>
  <c r="J26" i="1"/>
  <c r="J33" i="1" s="1"/>
  <c r="Q32" i="3"/>
  <c r="Q33" i="3"/>
  <c r="Q34" i="3"/>
  <c r="Q54" i="3"/>
  <c r="Q59" i="3"/>
  <c r="Q58" i="3"/>
  <c r="Q57" i="3"/>
  <c r="Q56" i="3"/>
  <c r="Q55" i="3"/>
  <c r="E34" i="3"/>
  <c r="Q28" i="3"/>
  <c r="Q27" i="3"/>
  <c r="J30" i="1" l="1"/>
  <c r="H31" i="3"/>
  <c r="N34" i="3" l="1"/>
  <c r="E11" i="3" l="1"/>
  <c r="Q35" i="3" l="1"/>
  <c r="Q10" i="3"/>
  <c r="Q11" i="3"/>
  <c r="Q12" i="3"/>
  <c r="Q13" i="3"/>
  <c r="Q14" i="3"/>
  <c r="Q17" i="3"/>
  <c r="H34" i="3"/>
  <c r="H13" i="3"/>
  <c r="H29" i="3"/>
  <c r="H28" i="3"/>
  <c r="H24" i="3"/>
  <c r="H19" i="3"/>
  <c r="H21" i="3"/>
  <c r="H20" i="3"/>
  <c r="H16" i="3"/>
  <c r="H15" i="3"/>
  <c r="H14" i="3"/>
  <c r="C7" i="2"/>
  <c r="E7" i="2" s="1"/>
  <c r="K7" i="2" l="1"/>
  <c r="M7" i="2"/>
  <c r="G7" i="2"/>
  <c r="I7" i="2"/>
  <c r="E76" i="3"/>
  <c r="H76" i="3"/>
  <c r="Q76" i="3"/>
  <c r="N76" i="3"/>
  <c r="K76" i="3"/>
  <c r="N7" i="2" l="1"/>
  <c r="G17" i="1"/>
  <c r="F17" i="1"/>
  <c r="F18" i="1" s="1"/>
  <c r="N33" i="3" l="1"/>
  <c r="K34" i="3" l="1"/>
  <c r="D17" i="1"/>
  <c r="D18" i="1" s="1"/>
  <c r="N53" i="3"/>
  <c r="N52" i="3"/>
  <c r="N51" i="3"/>
  <c r="N50" i="3"/>
  <c r="N49" i="3"/>
  <c r="N77" i="3" s="1"/>
  <c r="N48" i="3"/>
  <c r="N47" i="3"/>
  <c r="N46" i="3"/>
  <c r="N45" i="3"/>
  <c r="N72" i="3" s="1"/>
  <c r="N44" i="3"/>
  <c r="N73" i="3" s="1"/>
  <c r="K20" i="3"/>
  <c r="K19" i="3"/>
  <c r="N24" i="3"/>
  <c r="Q44" i="3"/>
  <c r="Q73" i="3" s="1"/>
  <c r="K44" i="3"/>
  <c r="K73" i="3" s="1"/>
  <c r="H53" i="3"/>
  <c r="K53" i="3"/>
  <c r="Q53" i="3"/>
  <c r="N35" i="3"/>
  <c r="K35" i="3"/>
  <c r="H35" i="3"/>
  <c r="E35" i="3"/>
  <c r="Q62" i="3"/>
  <c r="N62" i="3"/>
  <c r="K62" i="3"/>
  <c r="H62" i="3"/>
  <c r="E62" i="3"/>
  <c r="N26" i="3"/>
  <c r="N25" i="3"/>
  <c r="N17" i="3"/>
  <c r="N14" i="3"/>
  <c r="N13" i="3"/>
  <c r="K17" i="3"/>
  <c r="K14" i="3"/>
  <c r="K13" i="3"/>
  <c r="K21" i="3"/>
  <c r="K18" i="3"/>
  <c r="K25" i="3"/>
  <c r="K23" i="3"/>
  <c r="N23" i="3"/>
  <c r="N30" i="3"/>
  <c r="N29" i="3"/>
  <c r="N27" i="3"/>
  <c r="N22" i="3"/>
  <c r="N21" i="3"/>
  <c r="N18" i="3"/>
  <c r="N12" i="3"/>
  <c r="N11" i="3"/>
  <c r="N10" i="3"/>
  <c r="K30" i="3"/>
  <c r="K29" i="3"/>
  <c r="K27" i="3"/>
  <c r="K26" i="3"/>
  <c r="K22" i="3"/>
  <c r="K12" i="3"/>
  <c r="K11" i="3"/>
  <c r="K10" i="3"/>
  <c r="H30" i="3"/>
  <c r="H27" i="3"/>
  <c r="H26" i="3"/>
  <c r="H25" i="3"/>
  <c r="H23" i="3"/>
  <c r="H22" i="3"/>
  <c r="H18" i="3"/>
  <c r="H17" i="3"/>
  <c r="H12" i="3"/>
  <c r="H11" i="3"/>
  <c r="H10" i="3"/>
  <c r="E30" i="3"/>
  <c r="E29" i="3"/>
  <c r="E27" i="3"/>
  <c r="E26" i="3"/>
  <c r="E25" i="3"/>
  <c r="E23" i="3"/>
  <c r="E22" i="3"/>
  <c r="E21" i="3"/>
  <c r="E18" i="3"/>
  <c r="E17" i="3"/>
  <c r="E14" i="3"/>
  <c r="E13" i="3"/>
  <c r="C17" i="1"/>
  <c r="C18" i="1" s="1"/>
  <c r="N69" i="3" l="1"/>
  <c r="N75" i="3"/>
  <c r="V25" i="3"/>
  <c r="C19" i="1"/>
  <c r="C9" i="2"/>
  <c r="C8" i="2"/>
  <c r="G8" i="2" s="1"/>
  <c r="G9" i="2" l="1"/>
  <c r="I9" i="2"/>
  <c r="M8" i="2"/>
  <c r="I8" i="2"/>
  <c r="E9" i="2"/>
  <c r="K9" i="2"/>
  <c r="M9" i="2"/>
  <c r="E8" i="2"/>
  <c r="K8" i="2"/>
  <c r="C12" i="1" l="1"/>
  <c r="H56" i="3" l="1"/>
  <c r="K46" i="3" l="1"/>
  <c r="N59" i="3" l="1"/>
  <c r="N70" i="3" s="1"/>
  <c r="I3" i="1" l="1"/>
  <c r="Q40" i="3" l="1"/>
  <c r="Q39" i="3" s="1"/>
  <c r="N40" i="3"/>
  <c r="N39" i="3" s="1"/>
  <c r="K40" i="3"/>
  <c r="K39" i="3" s="1"/>
  <c r="H40" i="3"/>
  <c r="H39" i="3" s="1"/>
  <c r="E40" i="3"/>
  <c r="E39" i="3" s="1"/>
  <c r="Q38" i="3"/>
  <c r="Q37" i="3" s="1"/>
  <c r="N38" i="3"/>
  <c r="N37" i="3" s="1"/>
  <c r="K38" i="3"/>
  <c r="K37" i="3" s="1"/>
  <c r="H38" i="3"/>
  <c r="H37" i="3" s="1"/>
  <c r="E38" i="3"/>
  <c r="E37" i="3" s="1"/>
  <c r="Q36" i="3"/>
  <c r="Q8" i="3" s="1"/>
  <c r="N36" i="3"/>
  <c r="K36" i="3"/>
  <c r="H36" i="3"/>
  <c r="E36" i="3"/>
  <c r="N32" i="3"/>
  <c r="K32" i="3"/>
  <c r="H32" i="3"/>
  <c r="E32" i="3"/>
  <c r="N31" i="3"/>
  <c r="K31" i="3"/>
  <c r="E31" i="3"/>
  <c r="E12" i="3"/>
  <c r="E10" i="3"/>
  <c r="N8" i="3" l="1"/>
  <c r="B13" i="2" l="1"/>
  <c r="B15" i="2" s="1"/>
  <c r="G14" i="2"/>
  <c r="Q70" i="3"/>
  <c r="Q74" i="3"/>
  <c r="Q71" i="3"/>
  <c r="Q52" i="3"/>
  <c r="Q51" i="3"/>
  <c r="Q50" i="3"/>
  <c r="Q49" i="3"/>
  <c r="Q48" i="3"/>
  <c r="Q47" i="3"/>
  <c r="Q46" i="3"/>
  <c r="Q69" i="3" s="1"/>
  <c r="Q45" i="3"/>
  <c r="Q72" i="3" s="1"/>
  <c r="O2" i="2"/>
  <c r="Q75" i="3" l="1"/>
  <c r="Q77" i="3"/>
  <c r="O7" i="2"/>
  <c r="E14" i="2"/>
  <c r="Q42" i="3"/>
  <c r="G9" i="1" s="1"/>
  <c r="I14" i="2"/>
  <c r="K14" i="2"/>
  <c r="M14" i="2"/>
  <c r="Q79" i="3" l="1"/>
  <c r="N8" i="2"/>
  <c r="O8" i="2" s="1"/>
  <c r="G10" i="1"/>
  <c r="H44" i="3"/>
  <c r="H73" i="3" s="1"/>
  <c r="E44" i="3"/>
  <c r="E73" i="3" s="1"/>
  <c r="N14" i="2" l="1"/>
  <c r="N58" i="3"/>
  <c r="N57" i="3"/>
  <c r="N56" i="3"/>
  <c r="N55" i="3"/>
  <c r="N71" i="3" s="1"/>
  <c r="N43" i="3"/>
  <c r="N74" i="3" l="1"/>
  <c r="N79" i="3" s="1"/>
  <c r="N42" i="3"/>
  <c r="F9" i="1" s="1"/>
  <c r="N54" i="3"/>
  <c r="K43" i="3"/>
  <c r="H43" i="3"/>
  <c r="F10" i="1" l="1"/>
  <c r="I40" i="1" s="1"/>
  <c r="K59" i="3"/>
  <c r="K70" i="3" s="1"/>
  <c r="H59" i="3"/>
  <c r="H70" i="3" s="1"/>
  <c r="E59" i="3"/>
  <c r="E70" i="3" s="1"/>
  <c r="K58" i="3"/>
  <c r="H58" i="3"/>
  <c r="E58" i="3"/>
  <c r="K57" i="3"/>
  <c r="H57" i="3"/>
  <c r="E57" i="3"/>
  <c r="K56" i="3"/>
  <c r="E56" i="3"/>
  <c r="E74" i="3" s="1"/>
  <c r="K52" i="3"/>
  <c r="H52" i="3"/>
  <c r="E52" i="3"/>
  <c r="K51" i="3"/>
  <c r="H51" i="3"/>
  <c r="E51" i="3"/>
  <c r="K50" i="3"/>
  <c r="K69" i="3" s="1"/>
  <c r="H50" i="3"/>
  <c r="E50" i="3"/>
  <c r="K49" i="3"/>
  <c r="H49" i="3"/>
  <c r="E49" i="3"/>
  <c r="K48" i="3"/>
  <c r="H48" i="3"/>
  <c r="E48" i="3"/>
  <c r="K47" i="3"/>
  <c r="K75" i="3" s="1"/>
  <c r="H47" i="3"/>
  <c r="E47" i="3"/>
  <c r="K74" i="3" l="1"/>
  <c r="H74" i="3"/>
  <c r="H77" i="3"/>
  <c r="K77" i="3"/>
  <c r="E75" i="3"/>
  <c r="H75" i="3"/>
  <c r="D19" i="1"/>
  <c r="E17" i="1"/>
  <c r="E18" i="1" s="1"/>
  <c r="K55" i="3"/>
  <c r="K71" i="3" s="1"/>
  <c r="K45" i="3"/>
  <c r="K72" i="3" s="1"/>
  <c r="H55" i="3"/>
  <c r="H71" i="3" s="1"/>
  <c r="H46" i="3"/>
  <c r="H69" i="3" s="1"/>
  <c r="H45" i="3"/>
  <c r="H72" i="3" s="1"/>
  <c r="E55" i="3"/>
  <c r="E71" i="3" s="1"/>
  <c r="E53" i="3"/>
  <c r="E77" i="3" s="1"/>
  <c r="E45" i="3"/>
  <c r="E72" i="3" s="1"/>
  <c r="E46" i="3"/>
  <c r="E69" i="3" s="1"/>
  <c r="C6" i="2"/>
  <c r="G6" i="2" s="1"/>
  <c r="C5" i="2"/>
  <c r="G5" i="2" s="1"/>
  <c r="C4" i="2"/>
  <c r="G4" i="2" s="1"/>
  <c r="G13" i="2" l="1"/>
  <c r="K79" i="3"/>
  <c r="H79" i="3"/>
  <c r="E79" i="3"/>
  <c r="K10" i="2"/>
  <c r="G10" i="2"/>
  <c r="K6" i="2"/>
  <c r="I6" i="2"/>
  <c r="E12" i="1"/>
  <c r="H42" i="3"/>
  <c r="D9" i="1" s="1"/>
  <c r="K4" i="2"/>
  <c r="I4" i="2"/>
  <c r="K42" i="3"/>
  <c r="E42" i="3"/>
  <c r="C9" i="1" s="1"/>
  <c r="I5" i="2"/>
  <c r="K5" i="2"/>
  <c r="M6" i="2"/>
  <c r="E10" i="2"/>
  <c r="M10" i="2"/>
  <c r="M4" i="2"/>
  <c r="E5" i="2"/>
  <c r="M5" i="2"/>
  <c r="I10" i="2"/>
  <c r="E6" i="2"/>
  <c r="E4" i="2"/>
  <c r="M13" i="2" l="1"/>
  <c r="I13" i="2"/>
  <c r="K13" i="2"/>
  <c r="E13" i="2"/>
  <c r="E19" i="1"/>
  <c r="K11" i="2"/>
  <c r="N4" i="2"/>
  <c r="N10" i="2"/>
  <c r="N9" i="2"/>
  <c r="N6" i="2"/>
  <c r="N5" i="2"/>
  <c r="M11" i="2"/>
  <c r="I7" i="1"/>
  <c r="G12" i="1"/>
  <c r="J45" i="1" s="1"/>
  <c r="H17" i="1"/>
  <c r="H18" i="1" s="1"/>
  <c r="K45" i="1" l="1"/>
  <c r="N13" i="2"/>
  <c r="F6" i="1"/>
  <c r="F11" i="1" s="1"/>
  <c r="G6" i="1"/>
  <c r="G19" i="1"/>
  <c r="H19" i="1"/>
  <c r="T37" i="3"/>
  <c r="T36" i="3" s="1"/>
  <c r="T35" i="3"/>
  <c r="T34" i="3" s="1"/>
  <c r="T32" i="3"/>
  <c r="T7" i="3"/>
  <c r="T6" i="3" s="1"/>
  <c r="T5" i="3"/>
  <c r="T4" i="3" s="1"/>
  <c r="I26" i="1" l="1"/>
  <c r="I30" i="1" s="1"/>
  <c r="G11" i="1"/>
  <c r="O4" i="2"/>
  <c r="O5" i="2"/>
  <c r="O9" i="2"/>
  <c r="O10" i="2"/>
  <c r="O6" i="2"/>
  <c r="T8" i="3"/>
  <c r="T3" i="3" s="1"/>
  <c r="I34" i="1" l="1"/>
  <c r="I33" i="1"/>
  <c r="H14" i="1"/>
  <c r="F45" i="1"/>
  <c r="F12" i="1" l="1"/>
  <c r="I45" i="1" s="1"/>
  <c r="D12" i="1"/>
  <c r="G45" i="1" s="1"/>
  <c r="H45" i="1"/>
  <c r="I11" i="2" l="1"/>
  <c r="H22" i="1" l="1"/>
  <c r="Q7" i="3" l="1"/>
  <c r="Q6" i="3" s="1"/>
  <c r="Q5" i="3"/>
  <c r="Q4" i="3" s="1"/>
  <c r="I12" i="1" l="1"/>
  <c r="Q3" i="3" l="1"/>
  <c r="G8" i="1"/>
  <c r="J38" i="1" s="1"/>
  <c r="K38" i="1" l="1"/>
  <c r="K46" i="1" s="1"/>
  <c r="J44" i="1"/>
  <c r="J46" i="1"/>
  <c r="G5" i="1"/>
  <c r="G14" i="1"/>
  <c r="E11" i="2"/>
  <c r="K44" i="1" l="1"/>
  <c r="J48" i="1"/>
  <c r="K48" i="1" s="1"/>
  <c r="C6" i="1"/>
  <c r="C11" i="1" s="1"/>
  <c r="F26" i="1" l="1"/>
  <c r="E9" i="1"/>
  <c r="N7" i="3"/>
  <c r="N6" i="3" s="1"/>
  <c r="K7" i="3"/>
  <c r="K6" i="3" s="1"/>
  <c r="H7" i="3"/>
  <c r="H6" i="3" s="1"/>
  <c r="E7" i="3"/>
  <c r="E6" i="3" s="1"/>
  <c r="N5" i="3"/>
  <c r="N4" i="3" s="1"/>
  <c r="K5" i="3"/>
  <c r="K4" i="3" s="1"/>
  <c r="H5" i="3"/>
  <c r="H4" i="3" s="1"/>
  <c r="E5" i="3"/>
  <c r="E4" i="3" s="1"/>
  <c r="F30" i="1" l="1"/>
  <c r="F34" i="1"/>
  <c r="F33" i="1"/>
  <c r="C22" i="1"/>
  <c r="F42" i="1"/>
  <c r="I9" i="1"/>
  <c r="K54" i="3"/>
  <c r="K8" i="3"/>
  <c r="H54" i="3"/>
  <c r="D10" i="1" s="1"/>
  <c r="E54" i="3"/>
  <c r="C10" i="1" s="1"/>
  <c r="H8" i="3"/>
  <c r="D8" i="1" s="1"/>
  <c r="E8" i="3"/>
  <c r="C8" i="1" l="1"/>
  <c r="C5" i="1" s="1"/>
  <c r="C13" i="1" s="1"/>
  <c r="G40" i="1"/>
  <c r="E10" i="1"/>
  <c r="F43" i="1"/>
  <c r="N3" i="3"/>
  <c r="F8" i="1"/>
  <c r="K3" i="3"/>
  <c r="E8" i="1"/>
  <c r="T59" i="3"/>
  <c r="G11" i="2"/>
  <c r="H3" i="3"/>
  <c r="G38" i="1"/>
  <c r="F40" i="1"/>
  <c r="E3" i="3"/>
  <c r="F19" i="1"/>
  <c r="D6" i="1" l="1"/>
  <c r="D11" i="1" s="1"/>
  <c r="N11" i="2"/>
  <c r="E14" i="1"/>
  <c r="H40" i="1"/>
  <c r="F38" i="1"/>
  <c r="H38" i="1"/>
  <c r="F14" i="1"/>
  <c r="I38" i="1"/>
  <c r="I10" i="1"/>
  <c r="I8" i="1"/>
  <c r="H13" i="1"/>
  <c r="H21" i="1"/>
  <c r="D14" i="1"/>
  <c r="G22" i="1"/>
  <c r="C14" i="1"/>
  <c r="E6" i="1"/>
  <c r="F46" i="1" l="1"/>
  <c r="F44" i="1"/>
  <c r="E11" i="1"/>
  <c r="E5" i="1" s="1"/>
  <c r="G26" i="1"/>
  <c r="H15" i="1"/>
  <c r="T60" i="3"/>
  <c r="H26" i="1"/>
  <c r="I6" i="1"/>
  <c r="G33" i="1" l="1"/>
  <c r="F48" i="1"/>
  <c r="G30" i="1"/>
  <c r="G34" i="1"/>
  <c r="I42" i="1"/>
  <c r="F22" i="1"/>
  <c r="F5" i="1"/>
  <c r="H30" i="1"/>
  <c r="H33" i="1"/>
  <c r="H34" i="1"/>
  <c r="E22" i="1"/>
  <c r="H42" i="1"/>
  <c r="I11" i="1"/>
  <c r="G42" i="1"/>
  <c r="D5" i="1"/>
  <c r="D13" i="1" s="1"/>
  <c r="D22" i="1"/>
  <c r="E21" i="1"/>
  <c r="G13" i="1"/>
  <c r="Q61" i="3" s="1"/>
  <c r="E13" i="1"/>
  <c r="Q63" i="3" l="1"/>
  <c r="D15" i="1"/>
  <c r="F21" i="1"/>
  <c r="F13" i="1"/>
  <c r="O11" i="1" s="1"/>
  <c r="I43" i="1"/>
  <c r="I44" i="1"/>
  <c r="I48" i="1" s="1"/>
  <c r="I46" i="1"/>
  <c r="D21" i="1"/>
  <c r="N5" i="1"/>
  <c r="P7" i="1"/>
  <c r="P13" i="1"/>
  <c r="P9" i="1"/>
  <c r="P10" i="1"/>
  <c r="P12" i="1"/>
  <c r="P6" i="1"/>
  <c r="P11" i="1"/>
  <c r="P8" i="1"/>
  <c r="P5" i="1"/>
  <c r="G44" i="1"/>
  <c r="H43" i="1"/>
  <c r="H46" i="1"/>
  <c r="H44" i="1"/>
  <c r="H48" i="1" s="1"/>
  <c r="G43" i="1"/>
  <c r="G46" i="1"/>
  <c r="E15" i="1"/>
  <c r="N8" i="1"/>
  <c r="N11" i="1"/>
  <c r="N6" i="1"/>
  <c r="N9" i="1"/>
  <c r="N12" i="1"/>
  <c r="N7" i="1"/>
  <c r="N13" i="1"/>
  <c r="N10" i="1"/>
  <c r="G21" i="1"/>
  <c r="G15" i="1"/>
  <c r="K61" i="3"/>
  <c r="G48" i="1" l="1"/>
  <c r="I13" i="1"/>
  <c r="O6" i="1"/>
  <c r="N61" i="3"/>
  <c r="N63" i="3" s="1"/>
  <c r="O9" i="1"/>
  <c r="O10" i="1"/>
  <c r="O12" i="1"/>
  <c r="O7" i="1"/>
  <c r="O13" i="1"/>
  <c r="O8" i="1"/>
  <c r="F15" i="1"/>
  <c r="O5" i="1"/>
  <c r="K63" i="3"/>
  <c r="M11" i="1"/>
  <c r="M9" i="1"/>
  <c r="M7" i="1"/>
  <c r="M5" i="1"/>
  <c r="H61" i="3"/>
  <c r="M12" i="1"/>
  <c r="M13" i="1"/>
  <c r="M6" i="1"/>
  <c r="M8" i="1"/>
  <c r="M10" i="1"/>
  <c r="I5" i="1"/>
  <c r="C21" i="1"/>
  <c r="H63" i="3" l="1"/>
  <c r="L7" i="1"/>
  <c r="L13" i="1"/>
  <c r="L6" i="1"/>
  <c r="L8" i="1"/>
  <c r="L12" i="1"/>
  <c r="L9" i="1"/>
  <c r="L11" i="1"/>
  <c r="L10" i="1"/>
  <c r="L5" i="1"/>
  <c r="C15" i="1"/>
  <c r="E61" i="3"/>
  <c r="E63" i="3" l="1"/>
  <c r="U61" i="3"/>
  <c r="J9" i="1"/>
  <c r="J10" i="1"/>
  <c r="J12" i="1"/>
  <c r="J13" i="1"/>
  <c r="J8" i="1"/>
  <c r="J6" i="1"/>
  <c r="J11" i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조성훈</author>
  </authors>
  <commentList>
    <comment ref="E8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[24.02.20]
</t>
        </r>
        <r>
          <rPr>
            <sz val="9"/>
            <color indexed="81"/>
            <rFont val="Tahoma"/>
            <family val="2"/>
          </rPr>
          <t xml:space="preserve">1,508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</commentList>
</comments>
</file>

<file path=xl/sharedStrings.xml><?xml version="1.0" encoding="utf-8"?>
<sst xmlns="http://schemas.openxmlformats.org/spreadsheetml/2006/main" count="265" uniqueCount="156">
  <si>
    <t>내부인건비</t>
    <phoneticPr fontId="2" type="noConversion"/>
  </si>
  <si>
    <t>연구활동비</t>
    <phoneticPr fontId="2" type="noConversion"/>
  </si>
  <si>
    <t>참여율</t>
    <phoneticPr fontId="2" type="noConversion"/>
  </si>
  <si>
    <t>품명</t>
    <phoneticPr fontId="2" type="noConversion"/>
  </si>
  <si>
    <t>금액</t>
    <phoneticPr fontId="2" type="noConversion"/>
  </si>
  <si>
    <t>소계</t>
    <phoneticPr fontId="2" type="noConversion"/>
  </si>
  <si>
    <t>소계</t>
    <phoneticPr fontId="2" type="noConversion"/>
  </si>
  <si>
    <t>소계</t>
    <phoneticPr fontId="2" type="noConversion"/>
  </si>
  <si>
    <t>연봉</t>
    <phoneticPr fontId="2" type="noConversion"/>
  </si>
  <si>
    <t>구성비</t>
    <phoneticPr fontId="2" type="noConversion"/>
  </si>
  <si>
    <t>월급여</t>
    <phoneticPr fontId="2" type="noConversion"/>
  </si>
  <si>
    <t>연구시설장비및재료비</t>
    <phoneticPr fontId="2" type="noConversion"/>
  </si>
  <si>
    <t>연구수당</t>
    <phoneticPr fontId="2" type="noConversion"/>
  </si>
  <si>
    <t>4)시험분석료</t>
    <phoneticPr fontId="2" type="noConversion"/>
  </si>
  <si>
    <t>5)시작품제작비</t>
    <phoneticPr fontId="2" type="noConversion"/>
  </si>
  <si>
    <t>소계</t>
    <phoneticPr fontId="2" type="noConversion"/>
  </si>
  <si>
    <t>수량</t>
    <phoneticPr fontId="2" type="noConversion"/>
  </si>
  <si>
    <t>총계</t>
    <phoneticPr fontId="2" type="noConversion"/>
  </si>
  <si>
    <t>2차년도</t>
    <phoneticPr fontId="2" type="noConversion"/>
  </si>
  <si>
    <t>1차년도</t>
    <phoneticPr fontId="2" type="noConversion"/>
  </si>
  <si>
    <t>3차년도</t>
    <phoneticPr fontId="2" type="noConversion"/>
  </si>
  <si>
    <t>비   목</t>
    <phoneticPr fontId="2" type="noConversion"/>
  </si>
  <si>
    <t>지급액</t>
    <phoneticPr fontId="2" type="noConversion"/>
  </si>
  <si>
    <t>단가</t>
    <phoneticPr fontId="2" type="noConversion"/>
  </si>
  <si>
    <t>계</t>
    <phoneticPr fontId="2" type="noConversion"/>
  </si>
  <si>
    <t>비목</t>
    <phoneticPr fontId="2" type="noConversion"/>
  </si>
  <si>
    <t>4차년도</t>
    <phoneticPr fontId="2" type="noConversion"/>
  </si>
  <si>
    <t>5차년도</t>
    <phoneticPr fontId="2" type="noConversion"/>
  </si>
  <si>
    <t>재료비</t>
    <phoneticPr fontId="2" type="noConversion"/>
  </si>
  <si>
    <t>추가금액</t>
    <phoneticPr fontId="2" type="noConversion"/>
  </si>
  <si>
    <t>연구비할당</t>
    <phoneticPr fontId="2" type="noConversion"/>
  </si>
  <si>
    <t>직접비</t>
    <phoneticPr fontId="2" type="noConversion"/>
  </si>
  <si>
    <t>간접비</t>
    <phoneticPr fontId="2" type="noConversion"/>
  </si>
  <si>
    <t>연구과제추진비</t>
    <phoneticPr fontId="2" type="noConversion"/>
  </si>
  <si>
    <t>연구과제추진비</t>
    <phoneticPr fontId="2" type="noConversion"/>
  </si>
  <si>
    <t>국외여비</t>
    <phoneticPr fontId="2" type="noConversion"/>
  </si>
  <si>
    <t>국내여비</t>
    <phoneticPr fontId="2" type="noConversion"/>
  </si>
  <si>
    <t>회의비</t>
    <phoneticPr fontId="2" type="noConversion"/>
  </si>
  <si>
    <t>인건비</t>
    <phoneticPr fontId="2" type="noConversion"/>
  </si>
  <si>
    <t>학생인건비</t>
    <phoneticPr fontId="2" type="noConversion"/>
  </si>
  <si>
    <t>연구활동비</t>
    <phoneticPr fontId="2" type="noConversion"/>
  </si>
  <si>
    <t>원고료,특허조사</t>
    <phoneticPr fontId="2" type="noConversion"/>
  </si>
  <si>
    <t>유인물비(인쇄,복사)</t>
    <phoneticPr fontId="2" type="noConversion"/>
  </si>
  <si>
    <t>전문가활용비</t>
    <phoneticPr fontId="2" type="noConversion"/>
  </si>
  <si>
    <t>국내외훈련비</t>
    <phoneticPr fontId="2" type="noConversion"/>
  </si>
  <si>
    <t>학회,세미나 참가비</t>
    <phoneticPr fontId="2" type="noConversion"/>
  </si>
  <si>
    <t>세미나 개최비</t>
    <phoneticPr fontId="2" type="noConversion"/>
  </si>
  <si>
    <t>우편, 택비 수수료</t>
    <phoneticPr fontId="2" type="noConversion"/>
  </si>
  <si>
    <t>직접비</t>
    <phoneticPr fontId="2" type="noConversion"/>
  </si>
  <si>
    <t>간접비</t>
    <phoneticPr fontId="2" type="noConversion"/>
  </si>
  <si>
    <t>이름</t>
    <phoneticPr fontId="2" type="noConversion"/>
  </si>
  <si>
    <t>1) 연구기자재</t>
    <phoneticPr fontId="2" type="noConversion"/>
  </si>
  <si>
    <t>2) 시설비</t>
    <phoneticPr fontId="2" type="noConversion"/>
  </si>
  <si>
    <t>3) 시약 및 재료비</t>
    <phoneticPr fontId="2" type="noConversion"/>
  </si>
  <si>
    <t>이가람</t>
    <phoneticPr fontId="2" type="noConversion"/>
  </si>
  <si>
    <t>개월</t>
    <phoneticPr fontId="2" type="noConversion"/>
  </si>
  <si>
    <t>총</t>
    <phoneticPr fontId="2" type="noConversion"/>
  </si>
  <si>
    <t>명</t>
    <phoneticPr fontId="2" type="noConversion"/>
  </si>
  <si>
    <t>6차년도</t>
    <phoneticPr fontId="2" type="noConversion"/>
  </si>
  <si>
    <t>소모성 재료비</t>
    <phoneticPr fontId="2" type="noConversion"/>
  </si>
  <si>
    <t>개월</t>
    <phoneticPr fontId="2" type="noConversion"/>
  </si>
  <si>
    <t>작성일</t>
    <phoneticPr fontId="2" type="noConversion"/>
  </si>
  <si>
    <t>총</t>
    <phoneticPr fontId="2" type="noConversion"/>
  </si>
  <si>
    <t>공통</t>
    <phoneticPr fontId="2" type="noConversion"/>
  </si>
  <si>
    <t>간접비 비율</t>
    <phoneticPr fontId="2" type="noConversion"/>
  </si>
  <si>
    <t>연구수당 비율</t>
    <phoneticPr fontId="2" type="noConversion"/>
  </si>
  <si>
    <t>평균참여율</t>
    <phoneticPr fontId="2" type="noConversion"/>
  </si>
  <si>
    <t>임병주</t>
    <phoneticPr fontId="2" type="noConversion"/>
  </si>
  <si>
    <t>4차년도</t>
    <phoneticPr fontId="2" type="noConversion"/>
  </si>
  <si>
    <t>박창대</t>
    <phoneticPr fontId="2" type="noConversion"/>
  </si>
  <si>
    <t>조성훈</t>
    <phoneticPr fontId="2" type="noConversion"/>
  </si>
  <si>
    <t>비목</t>
  </si>
  <si>
    <t xml:space="preserve">세목 </t>
  </si>
  <si>
    <t>1단계</t>
  </si>
  <si>
    <t>합계</t>
  </si>
  <si>
    <t>1차년도</t>
  </si>
  <si>
    <t>2차년도</t>
  </si>
  <si>
    <t>3차년도</t>
  </si>
  <si>
    <t>내부인건비(A)</t>
  </si>
  <si>
    <t>현금(N)</t>
  </si>
  <si>
    <t>현물</t>
  </si>
  <si>
    <t>외부인건비(B)</t>
  </si>
  <si>
    <t>현금(O)</t>
  </si>
  <si>
    <t>연구지원인력인건비(C)</t>
  </si>
  <si>
    <t>소계(A+B+C)</t>
  </si>
  <si>
    <t>학생 인건비(D)</t>
  </si>
  <si>
    <t>일반</t>
  </si>
  <si>
    <t>통합관리</t>
  </si>
  <si>
    <t>총 인건비(E1=A+B+C+D)</t>
  </si>
  <si>
    <t>수정인건비(E2=A+B+D)</t>
  </si>
  <si>
    <t>현금(P)</t>
  </si>
  <si>
    <t>(연구시설‧장비비 중 통합관리비(현금))</t>
  </si>
  <si>
    <t>현금(Q)</t>
  </si>
  <si>
    <t>현금(R)</t>
  </si>
  <si>
    <t>연구수당(I)</t>
  </si>
  <si>
    <t>연구수당 비율(I/E2)</t>
  </si>
  <si>
    <t>간접비(L)</t>
  </si>
  <si>
    <t>간접비 비율(L/(N+O+C+D+P+Q+R+I))</t>
  </si>
  <si>
    <t>(간접비 중 연구실 안전관리비)</t>
  </si>
  <si>
    <t>연구개발비 총액(M=K+L)</t>
  </si>
  <si>
    <t>직접비 소계(K=E1+F+G+H+I)</t>
    <phoneticPr fontId="2" type="noConversion"/>
  </si>
  <si>
    <t>5차년도</t>
    <phoneticPr fontId="2" type="noConversion"/>
  </si>
  <si>
    <t>사무용 가구 (책상, 의자, 책장, 캐비닛 등)</t>
    <phoneticPr fontId="2" type="noConversion"/>
  </si>
  <si>
    <t>차년도 별 구성비</t>
    <phoneticPr fontId="2" type="noConversion"/>
  </si>
  <si>
    <t>합   계</t>
    <phoneticPr fontId="2" type="noConversion"/>
  </si>
  <si>
    <t>여성</t>
    <phoneticPr fontId="2" type="noConversion"/>
  </si>
  <si>
    <t>연구비할당</t>
    <phoneticPr fontId="2" type="noConversion"/>
  </si>
  <si>
    <t>조정차이</t>
    <phoneticPr fontId="2" type="noConversion"/>
  </si>
  <si>
    <t>파룩</t>
    <phoneticPr fontId="2" type="noConversion"/>
  </si>
  <si>
    <t>연구시설‧장비비(F)</t>
    <phoneticPr fontId="2" type="noConversion"/>
  </si>
  <si>
    <t>연구재료비(G)</t>
    <phoneticPr fontId="2" type="noConversion"/>
  </si>
  <si>
    <t>연구활동비(H)</t>
    <phoneticPr fontId="2" type="noConversion"/>
  </si>
  <si>
    <t>인건비</t>
    <phoneticPr fontId="2" type="noConversion"/>
  </si>
  <si>
    <t>직접비</t>
    <phoneticPr fontId="2" type="noConversion"/>
  </si>
  <si>
    <t>사무용품비(토너, 문구류, 컴퓨터, 데이터 저장장치 )</t>
    <phoneticPr fontId="2" type="noConversion"/>
  </si>
  <si>
    <t>수정일</t>
    <phoneticPr fontId="2" type="noConversion"/>
  </si>
  <si>
    <t>연구환경유지비(정수기, 공기청정기, 냉난방기)</t>
    <phoneticPr fontId="2" type="noConversion"/>
  </si>
  <si>
    <t>2단계</t>
    <phoneticPr fontId="2" type="noConversion"/>
  </si>
  <si>
    <t>외부전문기술활용비</t>
  </si>
  <si>
    <t>외부전문기술활용비</t>
    <phoneticPr fontId="2" type="noConversion"/>
  </si>
  <si>
    <t>회의비</t>
  </si>
  <si>
    <t>국내출장비</t>
  </si>
  <si>
    <t>국내출장비</t>
    <phoneticPr fontId="2" type="noConversion"/>
  </si>
  <si>
    <t>국외출장비</t>
  </si>
  <si>
    <t>국외출장비</t>
    <phoneticPr fontId="2" type="noConversion"/>
  </si>
  <si>
    <t>소프트웨어활용비</t>
  </si>
  <si>
    <t>소프트웨어활용비</t>
    <phoneticPr fontId="2" type="noConversion"/>
  </si>
  <si>
    <t>연구실운영비</t>
  </si>
  <si>
    <t>연구실운영비</t>
    <phoneticPr fontId="2" type="noConversion"/>
  </si>
  <si>
    <t>연구인력지원비</t>
  </si>
  <si>
    <t>연구인력지원비</t>
    <phoneticPr fontId="2" type="noConversion"/>
  </si>
  <si>
    <t>종합사업관리비</t>
    <phoneticPr fontId="2" type="noConversion"/>
  </si>
  <si>
    <t>연구활동비 기타비용</t>
  </si>
  <si>
    <t>연구활동비 기타비용</t>
    <phoneticPr fontId="2" type="noConversion"/>
  </si>
  <si>
    <t>세미나개최, 교육, 학회가입</t>
    <phoneticPr fontId="2" type="noConversion"/>
  </si>
  <si>
    <t>사무용기기, 사무용소트프퉤어, 소모품, 환경유지비</t>
    <phoneticPr fontId="2" type="noConversion"/>
  </si>
  <si>
    <t>기술정보활동비, 전문가초청, 번역, 시험검사분석(측정,해석,검증 등)</t>
    <phoneticPr fontId="2" type="noConversion"/>
  </si>
  <si>
    <t>도서, 인쇄/복사, 우편, 수도료, 논문게재</t>
    <phoneticPr fontId="2" type="noConversion"/>
  </si>
  <si>
    <t>권시은</t>
    <phoneticPr fontId="2" type="noConversion"/>
  </si>
  <si>
    <t>신뢰성</t>
    <phoneticPr fontId="2" type="noConversion"/>
  </si>
  <si>
    <t>기술정보수집비(chatGPT 등 생성형 AI 구독)</t>
    <phoneticPr fontId="2" type="noConversion"/>
  </si>
  <si>
    <t>에너지</t>
    <phoneticPr fontId="2" type="noConversion"/>
  </si>
  <si>
    <t>고체연료 과제 연구비 편성</t>
    <phoneticPr fontId="2" type="noConversion"/>
  </si>
  <si>
    <t>`</t>
    <phoneticPr fontId="2" type="noConversion"/>
  </si>
  <si>
    <t>기존</t>
    <phoneticPr fontId="2" type="noConversion"/>
  </si>
  <si>
    <t>현재</t>
    <phoneticPr fontId="2" type="noConversion"/>
  </si>
  <si>
    <t>해석 소프트웨어 라이선스 (matlab)</t>
    <phoneticPr fontId="2" type="noConversion"/>
  </si>
  <si>
    <t>에너지자립형 담수화 시스템 실험 장치 제작</t>
  </si>
  <si>
    <t>분석용 PC, 노트북(수치해석용, 공정분석용)</t>
  </si>
  <si>
    <t xml:space="preserve">계측 센서, 실험용 DAQ (NI PXI DAQ) </t>
  </si>
  <si>
    <t>에너지 공급 시스템 제작 또는 구매</t>
  </si>
  <si>
    <t>히트펌프 제작 또는 구매</t>
  </si>
  <si>
    <t>연속형 담수화 시스템 실험 장치 제작</t>
  </si>
  <si>
    <t>이동형 통합 담수화 시스템 시작품 제작</t>
  </si>
  <si>
    <t>모니터링 시스템 구축</t>
  </si>
  <si>
    <t>이동형 통합 담수화 시스템 시작품 보완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</si>
</sst>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0.0_ "/>
    <numFmt numFmtId="179" formatCode="_-* #,##0.0_-;\-* #,##0.0_-;_-* &quot;-&quot;?_-;_-@_-"/>
    <numFmt numFmtId="180" formatCode="0.00000%"/>
    <numFmt numFmtId="181" formatCode="0.0000000"/>
    <numFmt numFmtId="182" formatCode="0.000000"/>
    <numFmt numFmtId="183" formatCode="0.000"/>
    <numFmt numFmtId="184" formatCode="yy&quot;년&quot;\ mm&quot;월&quot;\ dd&quot;일&quot;"/>
    <numFmt numFmtId="185" formatCode="_-* #,##0_-;\-* #,##0_-;_-* &quot;-&quot;??_-;_-@_-"/>
  </numFmts>
  <fonts count="5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color indexed="12"/>
      <name val="돋움"/>
      <family val="3"/>
      <charset val="129"/>
    </font>
    <font>
      <b/>
      <sz val="11"/>
      <color indexed="61"/>
      <name val="돋움"/>
      <family val="3"/>
      <charset val="129"/>
    </font>
    <font>
      <b/>
      <sz val="11"/>
      <color indexed="10"/>
      <name val="돋움"/>
      <family val="3"/>
      <charset val="129"/>
    </font>
    <font>
      <b/>
      <sz val="11"/>
      <color indexed="57"/>
      <name val="돋움"/>
      <family val="3"/>
      <charset val="129"/>
    </font>
    <font>
      <b/>
      <sz val="11"/>
      <color indexed="16"/>
      <name val="돋움"/>
      <family val="3"/>
      <charset val="129"/>
    </font>
    <font>
      <b/>
      <sz val="11"/>
      <color indexed="17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0"/>
      <color indexed="16"/>
      <name val="돋움"/>
      <family val="3"/>
      <charset val="129"/>
    </font>
    <font>
      <b/>
      <sz val="12"/>
      <color indexed="12"/>
      <name val="돋움"/>
      <family val="3"/>
      <charset val="129"/>
    </font>
    <font>
      <b/>
      <sz val="12"/>
      <color indexed="10"/>
      <name val="돋움"/>
      <family val="3"/>
      <charset val="129"/>
    </font>
    <font>
      <b/>
      <sz val="14"/>
      <name val="돋움"/>
      <family val="3"/>
      <charset val="129"/>
    </font>
    <font>
      <b/>
      <sz val="10"/>
      <color indexed="10"/>
      <name val="돋움"/>
      <family val="3"/>
      <charset val="129"/>
    </font>
    <font>
      <b/>
      <sz val="12"/>
      <color rgb="FFFF0000"/>
      <name val="돋움"/>
      <family val="3"/>
      <charset val="129"/>
    </font>
    <font>
      <b/>
      <sz val="11"/>
      <color rgb="FF00B05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u/>
      <sz val="18"/>
      <name val="돋움"/>
      <family val="3"/>
      <charset val="129"/>
    </font>
    <font>
      <sz val="11"/>
      <color rgb="FF0000FF"/>
      <name val="돋움"/>
      <family val="3"/>
      <charset val="129"/>
    </font>
    <font>
      <b/>
      <sz val="12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6"/>
      <name val="돋움"/>
      <family val="3"/>
      <charset val="129"/>
    </font>
    <font>
      <sz val="14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1"/>
      <color rgb="FF000000"/>
      <name val="돋움"/>
      <family val="3"/>
      <charset val="129"/>
    </font>
    <font>
      <sz val="12"/>
      <name val="돋움"/>
      <family val="3"/>
      <charset val="129"/>
    </font>
    <font>
      <b/>
      <sz val="14"/>
      <color indexed="12"/>
      <name val="돋움"/>
      <family val="3"/>
      <charset val="129"/>
    </font>
    <font>
      <b/>
      <sz val="14"/>
      <color indexed="10"/>
      <name val="돋움"/>
      <family val="3"/>
      <charset val="129"/>
    </font>
    <font>
      <b/>
      <sz val="16"/>
      <color indexed="12"/>
      <name val="돋움"/>
      <family val="3"/>
      <charset val="129"/>
    </font>
    <font>
      <sz val="11"/>
      <color rgb="FFFF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6"/>
      <color rgb="FFFF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8"/>
      <color rgb="FFFF0000"/>
      <name val="돋움"/>
      <family val="3"/>
      <charset val="129"/>
    </font>
    <font>
      <sz val="8"/>
      <color rgb="FF000000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FF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0000FF"/>
      <name val="돋움"/>
      <family val="3"/>
      <charset val="129"/>
    </font>
    <font>
      <sz val="10"/>
      <color rgb="FFFF0000"/>
      <name val="돋움"/>
      <family val="3"/>
      <charset val="129"/>
    </font>
    <font>
      <i/>
      <sz val="10"/>
      <color rgb="FFFF0000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Dashed">
        <color indexed="64"/>
      </top>
      <bottom style="hair">
        <color indexed="64"/>
      </bottom>
      <diagonal/>
    </border>
    <border>
      <left/>
      <right style="medium">
        <color indexed="64"/>
      </right>
      <top style="mediumDashed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mediumDashed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indexed="64"/>
      </right>
      <top style="mediumDash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Dashed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Dashed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Dashed">
        <color indexed="64"/>
      </bottom>
      <diagonal/>
    </border>
    <border>
      <left/>
      <right style="medium">
        <color indexed="64"/>
      </right>
      <top style="hair">
        <color indexed="64"/>
      </top>
      <bottom style="mediumDashed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Dash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Dashed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Dashed">
        <color indexed="64"/>
      </bottom>
      <diagonal/>
    </border>
    <border>
      <left style="medium">
        <color indexed="64"/>
      </left>
      <right style="hair">
        <color indexed="64"/>
      </right>
      <top/>
      <bottom style="mediumDashed">
        <color indexed="64"/>
      </bottom>
      <diagonal/>
    </border>
    <border>
      <left style="hair">
        <color indexed="64"/>
      </left>
      <right style="hair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Dashed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indexed="64"/>
      </right>
      <top style="dott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mediumDash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mediumDashed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hair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53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</cellStyleXfs>
  <cellXfs count="409">
    <xf numFmtId="0" fontId="0" fillId="0" borderId="0" xfId="0"/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vertical="center"/>
    </xf>
    <xf numFmtId="176" fontId="5" fillId="0" borderId="6" xfId="0" applyNumberFormat="1" applyFont="1" applyBorder="1" applyAlignment="1">
      <alignment vertical="center"/>
    </xf>
    <xf numFmtId="176" fontId="10" fillId="0" borderId="10" xfId="0" applyNumberFormat="1" applyFont="1" applyBorder="1" applyAlignment="1">
      <alignment vertical="center"/>
    </xf>
    <xf numFmtId="176" fontId="8" fillId="0" borderId="11" xfId="0" applyNumberFormat="1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176" fontId="8" fillId="0" borderId="24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7" fontId="0" fillId="0" borderId="0" xfId="1" applyNumberFormat="1" applyFont="1" applyAlignment="1">
      <alignment vertical="center"/>
    </xf>
    <xf numFmtId="0" fontId="0" fillId="0" borderId="0" xfId="0" applyAlignment="1">
      <alignment horizontal="right" vertical="center"/>
    </xf>
    <xf numFmtId="10" fontId="0" fillId="0" borderId="0" xfId="1" applyNumberFormat="1" applyFont="1" applyAlignment="1">
      <alignment vertical="center"/>
    </xf>
    <xf numFmtId="41" fontId="0" fillId="0" borderId="0" xfId="2" applyFont="1" applyAlignment="1">
      <alignment vertical="center"/>
    </xf>
    <xf numFmtId="176" fontId="10" fillId="0" borderId="23" xfId="0" applyNumberFormat="1" applyFont="1" applyBorder="1" applyAlignment="1">
      <alignment vertical="center"/>
    </xf>
    <xf numFmtId="176" fontId="17" fillId="0" borderId="24" xfId="0" applyNumberFormat="1" applyFont="1" applyBorder="1" applyAlignment="1">
      <alignment vertical="center"/>
    </xf>
    <xf numFmtId="176" fontId="10" fillId="0" borderId="35" xfId="0" applyNumberFormat="1" applyFont="1" applyBorder="1" applyAlignment="1">
      <alignment vertical="center"/>
    </xf>
    <xf numFmtId="176" fontId="17" fillId="0" borderId="36" xfId="0" applyNumberFormat="1" applyFont="1" applyBorder="1" applyAlignment="1">
      <alignment vertical="center"/>
    </xf>
    <xf numFmtId="0" fontId="6" fillId="0" borderId="37" xfId="0" applyFont="1" applyBorder="1" applyAlignment="1">
      <alignment horizontal="left" vertical="center"/>
    </xf>
    <xf numFmtId="176" fontId="8" fillId="0" borderId="36" xfId="0" applyNumberFormat="1" applyFont="1" applyBorder="1" applyAlignment="1">
      <alignment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176" fontId="11" fillId="5" borderId="1" xfId="0" applyNumberFormat="1" applyFont="1" applyFill="1" applyBorder="1" applyAlignment="1">
      <alignment vertical="center"/>
    </xf>
    <xf numFmtId="177" fontId="15" fillId="0" borderId="1" xfId="1" applyNumberFormat="1" applyFont="1" applyBorder="1" applyAlignment="1">
      <alignment vertical="center"/>
    </xf>
    <xf numFmtId="176" fontId="7" fillId="5" borderId="48" xfId="0" applyNumberFormat="1" applyFont="1" applyFill="1" applyBorder="1" applyAlignment="1">
      <alignment vertical="center"/>
    </xf>
    <xf numFmtId="177" fontId="5" fillId="0" borderId="48" xfId="1" applyNumberFormat="1" applyFont="1" applyBorder="1" applyAlignment="1">
      <alignment vertical="center"/>
    </xf>
    <xf numFmtId="0" fontId="7" fillId="5" borderId="49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176" fontId="5" fillId="0" borderId="51" xfId="0" applyNumberFormat="1" applyFont="1" applyBorder="1" applyAlignment="1">
      <alignment vertical="center"/>
    </xf>
    <xf numFmtId="0" fontId="3" fillId="0" borderId="48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176" fontId="16" fillId="5" borderId="48" xfId="0" applyNumberFormat="1" applyFont="1" applyFill="1" applyBorder="1" applyAlignment="1">
      <alignment vertical="center"/>
    </xf>
    <xf numFmtId="176" fontId="7" fillId="5" borderId="49" xfId="0" applyNumberFormat="1" applyFont="1" applyFill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7" fontId="5" fillId="0" borderId="49" xfId="1" applyNumberFormat="1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176" fontId="5" fillId="0" borderId="55" xfId="0" applyNumberFormat="1" applyFont="1" applyBorder="1" applyAlignment="1">
      <alignment vertical="center"/>
    </xf>
    <xf numFmtId="0" fontId="0" fillId="0" borderId="0" xfId="0" applyAlignment="1">
      <alignment vertical="center" shrinkToFit="1"/>
    </xf>
    <xf numFmtId="41" fontId="18" fillId="0" borderId="0" xfId="2" applyFont="1" applyAlignment="1">
      <alignment vertical="center"/>
    </xf>
    <xf numFmtId="41" fontId="20" fillId="0" borderId="0" xfId="0" applyNumberFormat="1" applyFont="1" applyAlignment="1">
      <alignment vertical="center"/>
    </xf>
    <xf numFmtId="41" fontId="21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/>
    </xf>
    <xf numFmtId="41" fontId="21" fillId="0" borderId="0" xfId="2" applyFont="1" applyAlignment="1">
      <alignment vertical="center"/>
    </xf>
    <xf numFmtId="41" fontId="20" fillId="0" borderId="0" xfId="2" applyFont="1" applyAlignment="1">
      <alignment vertical="center"/>
    </xf>
    <xf numFmtId="180" fontId="0" fillId="0" borderId="0" xfId="1" applyNumberFormat="1" applyFont="1" applyAlignment="1">
      <alignment vertical="center"/>
    </xf>
    <xf numFmtId="0" fontId="7" fillId="5" borderId="50" xfId="0" applyFont="1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76" fontId="8" fillId="0" borderId="63" xfId="0" applyNumberFormat="1" applyFont="1" applyBorder="1" applyAlignment="1">
      <alignment vertical="center"/>
    </xf>
    <xf numFmtId="41" fontId="0" fillId="0" borderId="23" xfId="2" applyFont="1" applyBorder="1" applyAlignment="1">
      <alignment horizontal="right" vertical="center"/>
    </xf>
    <xf numFmtId="0" fontId="7" fillId="6" borderId="49" xfId="0" applyFont="1" applyFill="1" applyBorder="1" applyAlignment="1">
      <alignment horizontal="center" vertical="center"/>
    </xf>
    <xf numFmtId="176" fontId="7" fillId="6" borderId="48" xfId="0" applyNumberFormat="1" applyFont="1" applyFill="1" applyBorder="1" applyAlignment="1">
      <alignment vertical="center"/>
    </xf>
    <xf numFmtId="176" fontId="11" fillId="6" borderId="1" xfId="0" applyNumberFormat="1" applyFont="1" applyFill="1" applyBorder="1" applyAlignment="1">
      <alignment vertical="center"/>
    </xf>
    <xf numFmtId="176" fontId="7" fillId="6" borderId="49" xfId="0" applyNumberFormat="1" applyFont="1" applyFill="1" applyBorder="1" applyAlignment="1">
      <alignment vertical="center"/>
    </xf>
    <xf numFmtId="176" fontId="16" fillId="6" borderId="48" xfId="0" applyNumberFormat="1" applyFont="1" applyFill="1" applyBorder="1" applyAlignment="1">
      <alignment vertical="center"/>
    </xf>
    <xf numFmtId="41" fontId="0" fillId="0" borderId="61" xfId="2" applyFont="1" applyBorder="1" applyAlignment="1">
      <alignment vertical="center"/>
    </xf>
    <xf numFmtId="176" fontId="11" fillId="0" borderId="1" xfId="0" applyNumberFormat="1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1" fontId="0" fillId="0" borderId="0" xfId="0" applyNumberFormat="1" applyAlignment="1">
      <alignment vertical="center"/>
    </xf>
    <xf numFmtId="41" fontId="25" fillId="0" borderId="1" xfId="2" applyFont="1" applyBorder="1" applyAlignment="1">
      <alignment vertical="center"/>
    </xf>
    <xf numFmtId="176" fontId="27" fillId="0" borderId="11" xfId="0" applyNumberFormat="1" applyFont="1" applyBorder="1" applyAlignment="1">
      <alignment vertical="center"/>
    </xf>
    <xf numFmtId="176" fontId="22" fillId="0" borderId="10" xfId="0" applyNumberFormat="1" applyFont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41" fontId="0" fillId="0" borderId="0" xfId="0" applyNumberFormat="1" applyAlignment="1">
      <alignment vertical="center"/>
    </xf>
    <xf numFmtId="0" fontId="5" fillId="0" borderId="2" xfId="0" applyFont="1" applyBorder="1" applyAlignment="1">
      <alignment vertical="center"/>
    </xf>
    <xf numFmtId="176" fontId="5" fillId="0" borderId="29" xfId="0" applyNumberFormat="1" applyFont="1" applyBorder="1" applyAlignment="1">
      <alignment vertical="center"/>
    </xf>
    <xf numFmtId="0" fontId="3" fillId="0" borderId="6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8" fillId="8" borderId="75" xfId="0" applyFont="1" applyFill="1" applyBorder="1" applyAlignment="1">
      <alignment horizontal="center" vertical="center" wrapText="1"/>
    </xf>
    <xf numFmtId="3" fontId="28" fillId="0" borderId="75" xfId="0" applyNumberFormat="1" applyFont="1" applyBorder="1" applyAlignment="1">
      <alignment horizontal="right" vertical="center" wrapText="1"/>
    </xf>
    <xf numFmtId="3" fontId="28" fillId="8" borderId="75" xfId="0" applyNumberFormat="1" applyFont="1" applyFill="1" applyBorder="1" applyAlignment="1">
      <alignment horizontal="right" vertical="center" wrapText="1"/>
    </xf>
    <xf numFmtId="0" fontId="28" fillId="0" borderId="75" xfId="0" applyFont="1" applyBorder="1" applyAlignment="1">
      <alignment horizontal="right" vertical="center" wrapText="1"/>
    </xf>
    <xf numFmtId="176" fontId="28" fillId="0" borderId="75" xfId="0" applyNumberFormat="1" applyFont="1" applyBorder="1" applyAlignment="1">
      <alignment horizontal="right" vertical="center" wrapText="1"/>
    </xf>
    <xf numFmtId="177" fontId="28" fillId="0" borderId="75" xfId="1" applyNumberFormat="1" applyFont="1" applyBorder="1" applyAlignment="1">
      <alignment horizontal="right" vertical="center" wrapText="1"/>
    </xf>
    <xf numFmtId="3" fontId="28" fillId="8" borderId="76" xfId="0" applyNumberFormat="1" applyFont="1" applyFill="1" applyBorder="1" applyAlignment="1">
      <alignment vertical="center" wrapText="1"/>
    </xf>
    <xf numFmtId="0" fontId="30" fillId="2" borderId="52" xfId="0" applyFont="1" applyFill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3" fontId="28" fillId="0" borderId="77" xfId="0" applyNumberFormat="1" applyFont="1" applyBorder="1" applyAlignment="1">
      <alignment horizontal="right" vertical="center" wrapText="1"/>
    </xf>
    <xf numFmtId="0" fontId="28" fillId="8" borderId="1" xfId="0" applyFont="1" applyFill="1" applyBorder="1" applyAlignment="1">
      <alignment horizontal="center" vertical="center" wrapText="1"/>
    </xf>
    <xf numFmtId="176" fontId="7" fillId="0" borderId="48" xfId="0" applyNumberFormat="1" applyFont="1" applyBorder="1" applyAlignment="1">
      <alignment vertical="center"/>
    </xf>
    <xf numFmtId="176" fontId="7" fillId="0" borderId="49" xfId="0" applyNumberFormat="1" applyFont="1" applyBorder="1" applyAlignment="1">
      <alignment vertical="center"/>
    </xf>
    <xf numFmtId="0" fontId="7" fillId="0" borderId="49" xfId="0" applyFont="1" applyBorder="1" applyAlignment="1">
      <alignment horizontal="center" vertical="center"/>
    </xf>
    <xf numFmtId="177" fontId="0" fillId="0" borderId="0" xfId="1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41" fontId="20" fillId="0" borderId="1" xfId="2" applyFont="1" applyBorder="1" applyAlignment="1">
      <alignment vertical="center"/>
    </xf>
    <xf numFmtId="10" fontId="0" fillId="7" borderId="1" xfId="0" applyNumberFormat="1" applyFill="1" applyBorder="1" applyAlignment="1">
      <alignment vertical="center"/>
    </xf>
    <xf numFmtId="41" fontId="20" fillId="0" borderId="1" xfId="0" applyNumberFormat="1" applyFont="1" applyBorder="1" applyAlignment="1">
      <alignment vertical="center"/>
    </xf>
    <xf numFmtId="182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41" fontId="0" fillId="10" borderId="1" xfId="2" applyFont="1" applyFill="1" applyBorder="1" applyAlignment="1">
      <alignment vertical="center"/>
    </xf>
    <xf numFmtId="10" fontId="22" fillId="0" borderId="75" xfId="1" applyNumberFormat="1" applyFont="1" applyBorder="1" applyAlignment="1">
      <alignment horizontal="right" vertical="center" wrapText="1"/>
    </xf>
    <xf numFmtId="10" fontId="18" fillId="0" borderId="75" xfId="1" applyNumberFormat="1" applyFont="1" applyBorder="1" applyAlignment="1">
      <alignment horizontal="right" vertical="center" wrapText="1"/>
    </xf>
    <xf numFmtId="41" fontId="35" fillId="10" borderId="1" xfId="0" applyNumberFormat="1" applyFont="1" applyFill="1" applyBorder="1" applyAlignment="1">
      <alignment vertical="center"/>
    </xf>
    <xf numFmtId="41" fontId="0" fillId="0" borderId="0" xfId="0" applyNumberFormat="1" applyAlignment="1">
      <alignment horizontal="center" vertical="center"/>
    </xf>
    <xf numFmtId="41" fontId="0" fillId="0" borderId="1" xfId="2" applyFont="1" applyBorder="1" applyAlignment="1">
      <alignment vertical="center"/>
    </xf>
    <xf numFmtId="184" fontId="0" fillId="0" borderId="0" xfId="0" applyNumberFormat="1" applyAlignment="1">
      <alignment horizontal="center" vertical="center"/>
    </xf>
    <xf numFmtId="3" fontId="20" fillId="0" borderId="75" xfId="0" applyNumberFormat="1" applyFont="1" applyBorder="1" applyAlignment="1">
      <alignment horizontal="right" vertical="center" wrapText="1"/>
    </xf>
    <xf numFmtId="183" fontId="0" fillId="0" borderId="0" xfId="0" applyNumberFormat="1" applyAlignment="1">
      <alignment vertical="center"/>
    </xf>
    <xf numFmtId="178" fontId="9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18" fillId="0" borderId="0" xfId="2" applyFont="1" applyFill="1" applyBorder="1" applyAlignment="1">
      <alignment vertical="center"/>
    </xf>
    <xf numFmtId="41" fontId="0" fillId="0" borderId="0" xfId="2" applyFont="1" applyFill="1" applyBorder="1" applyAlignment="1">
      <alignment vertical="center"/>
    </xf>
    <xf numFmtId="41" fontId="34" fillId="0" borderId="0" xfId="2" applyFont="1" applyFill="1" applyBorder="1" applyAlignment="1">
      <alignment horizontal="center" vertical="center"/>
    </xf>
    <xf numFmtId="49" fontId="34" fillId="0" borderId="0" xfId="2" applyNumberFormat="1" applyFont="1" applyFill="1" applyBorder="1" applyAlignment="1">
      <alignment horizontal="center" vertical="center"/>
    </xf>
    <xf numFmtId="41" fontId="28" fillId="0" borderId="0" xfId="2" applyFont="1" applyFill="1" applyBorder="1" applyAlignment="1">
      <alignment horizontal="center" vertical="center" wrapText="1"/>
    </xf>
    <xf numFmtId="176" fontId="25" fillId="0" borderId="0" xfId="0" applyNumberFormat="1" applyFont="1" applyAlignment="1">
      <alignment vertical="center"/>
    </xf>
    <xf numFmtId="41" fontId="36" fillId="0" borderId="0" xfId="2" applyFont="1" applyFill="1" applyBorder="1" applyAlignment="1">
      <alignment horizontal="center" vertical="center" wrapText="1"/>
    </xf>
    <xf numFmtId="41" fontId="28" fillId="0" borderId="0" xfId="2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41" fontId="28" fillId="0" borderId="75" xfId="0" applyNumberFormat="1" applyFont="1" applyBorder="1" applyAlignment="1">
      <alignment horizontal="right" vertical="center" wrapText="1"/>
    </xf>
    <xf numFmtId="176" fontId="41" fillId="6" borderId="1" xfId="0" applyNumberFormat="1" applyFont="1" applyFill="1" applyBorder="1" applyAlignment="1">
      <alignment vertical="center"/>
    </xf>
    <xf numFmtId="41" fontId="0" fillId="0" borderId="0" xfId="2" applyFont="1" applyAlignment="1">
      <alignment horizontal="center" vertical="center"/>
    </xf>
    <xf numFmtId="41" fontId="20" fillId="7" borderId="1" xfId="0" applyNumberFormat="1" applyFont="1" applyFill="1" applyBorder="1" applyAlignment="1">
      <alignment vertical="center"/>
    </xf>
    <xf numFmtId="176" fontId="43" fillId="5" borderId="1" xfId="0" applyNumberFormat="1" applyFont="1" applyFill="1" applyBorder="1" applyAlignment="1">
      <alignment vertical="center"/>
    </xf>
    <xf numFmtId="41" fontId="18" fillId="0" borderId="75" xfId="0" applyNumberFormat="1" applyFont="1" applyBorder="1" applyAlignment="1">
      <alignment horizontal="right" vertical="center" wrapText="1"/>
    </xf>
    <xf numFmtId="3" fontId="38" fillId="0" borderId="0" xfId="0" applyNumberFormat="1" applyFont="1" applyAlignment="1">
      <alignment horizontal="right" vertical="center" wrapText="1"/>
    </xf>
    <xf numFmtId="0" fontId="33" fillId="0" borderId="0" xfId="0" applyFont="1" applyAlignment="1">
      <alignment vertical="center"/>
    </xf>
    <xf numFmtId="41" fontId="39" fillId="0" borderId="0" xfId="2" applyFont="1" applyFill="1" applyBorder="1" applyAlignment="1">
      <alignment horizontal="center" vertical="center" wrapText="1"/>
    </xf>
    <xf numFmtId="41" fontId="40" fillId="0" borderId="0" xfId="2" applyFont="1" applyFill="1" applyBorder="1" applyAlignment="1">
      <alignment vertical="center" wrapText="1"/>
    </xf>
    <xf numFmtId="3" fontId="37" fillId="0" borderId="0" xfId="0" applyNumberFormat="1" applyFont="1" applyAlignment="1">
      <alignment horizontal="right" vertical="center"/>
    </xf>
    <xf numFmtId="41" fontId="10" fillId="0" borderId="0" xfId="0" applyNumberFormat="1" applyFont="1" applyAlignment="1">
      <alignment vertical="center"/>
    </xf>
    <xf numFmtId="41" fontId="42" fillId="0" borderId="0" xfId="4" applyFont="1" applyBorder="1">
      <alignment vertical="center"/>
    </xf>
    <xf numFmtId="0" fontId="46" fillId="0" borderId="0" xfId="0" applyFont="1" applyAlignment="1">
      <alignment vertical="center"/>
    </xf>
    <xf numFmtId="41" fontId="25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6" fontId="25" fillId="0" borderId="1" xfId="0" applyNumberFormat="1" applyFont="1" applyBorder="1" applyAlignment="1">
      <alignment vertical="center"/>
    </xf>
    <xf numFmtId="177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176" fontId="26" fillId="0" borderId="1" xfId="0" applyNumberFormat="1" applyFont="1" applyBorder="1" applyAlignment="1">
      <alignment vertical="center"/>
    </xf>
    <xf numFmtId="177" fontId="0" fillId="0" borderId="1" xfId="0" applyNumberFormat="1" applyBorder="1" applyAlignment="1">
      <alignment vertical="center"/>
    </xf>
    <xf numFmtId="41" fontId="10" fillId="0" borderId="1" xfId="0" applyNumberFormat="1" applyFont="1" applyBorder="1" applyAlignment="1">
      <alignment vertical="center"/>
    </xf>
    <xf numFmtId="177" fontId="10" fillId="0" borderId="1" xfId="0" applyNumberFormat="1" applyFont="1" applyBorder="1" applyAlignment="1">
      <alignment vertical="center"/>
    </xf>
    <xf numFmtId="176" fontId="18" fillId="0" borderId="1" xfId="0" applyNumberFormat="1" applyFont="1" applyBorder="1" applyAlignment="1">
      <alignment vertical="center"/>
    </xf>
    <xf numFmtId="41" fontId="25" fillId="0" borderId="1" xfId="2" applyFont="1" applyFill="1" applyBorder="1" applyAlignment="1">
      <alignment horizontal="center" vertical="center"/>
    </xf>
    <xf numFmtId="176" fontId="26" fillId="11" borderId="1" xfId="0" applyNumberFormat="1" applyFont="1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176" fontId="0" fillId="0" borderId="29" xfId="0" applyNumberFormat="1" applyBorder="1" applyAlignment="1">
      <alignment vertical="center"/>
    </xf>
    <xf numFmtId="0" fontId="0" fillId="0" borderId="53" xfId="0" applyBorder="1" applyAlignment="1">
      <alignment vertical="center" shrinkToFit="1"/>
    </xf>
    <xf numFmtId="0" fontId="0" fillId="0" borderId="56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vertical="center" shrinkToFit="1"/>
    </xf>
    <xf numFmtId="0" fontId="0" fillId="0" borderId="12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vertical="center" shrinkToFit="1"/>
    </xf>
    <xf numFmtId="0" fontId="0" fillId="0" borderId="21" xfId="0" applyBorder="1" applyAlignment="1">
      <alignment vertical="center"/>
    </xf>
    <xf numFmtId="176" fontId="0" fillId="0" borderId="19" xfId="0" applyNumberFormat="1" applyBorder="1" applyAlignment="1">
      <alignment vertical="center"/>
    </xf>
    <xf numFmtId="176" fontId="0" fillId="0" borderId="20" xfId="0" applyNumberFormat="1" applyBorder="1" applyAlignment="1">
      <alignment vertical="center"/>
    </xf>
    <xf numFmtId="0" fontId="0" fillId="0" borderId="32" xfId="0" applyBorder="1" applyAlignment="1">
      <alignment horizontal="left" vertical="center"/>
    </xf>
    <xf numFmtId="0" fontId="0" fillId="0" borderId="42" xfId="0" applyBorder="1" applyAlignment="1">
      <alignment vertical="center" shrinkToFit="1"/>
    </xf>
    <xf numFmtId="0" fontId="0" fillId="0" borderId="43" xfId="0" applyBorder="1" applyAlignment="1">
      <alignment vertical="center"/>
    </xf>
    <xf numFmtId="0" fontId="0" fillId="0" borderId="37" xfId="0" applyBorder="1" applyAlignment="1">
      <alignment horizontal="right" vertical="center"/>
    </xf>
    <xf numFmtId="0" fontId="0" fillId="0" borderId="38" xfId="0" applyBorder="1" applyAlignment="1">
      <alignment vertical="center" shrinkToFit="1"/>
    </xf>
    <xf numFmtId="0" fontId="0" fillId="0" borderId="41" xfId="0" applyBorder="1" applyAlignment="1">
      <alignment vertical="center"/>
    </xf>
    <xf numFmtId="176" fontId="0" fillId="0" borderId="39" xfId="0" applyNumberFormat="1" applyBorder="1" applyAlignment="1">
      <alignment vertical="center"/>
    </xf>
    <xf numFmtId="176" fontId="0" fillId="0" borderId="40" xfId="0" applyNumberFormat="1" applyBorder="1" applyAlignment="1">
      <alignment vertical="center"/>
    </xf>
    <xf numFmtId="0" fontId="0" fillId="0" borderId="72" xfId="0" applyBorder="1" applyAlignment="1">
      <alignment horizontal="left" vertical="center"/>
    </xf>
    <xf numFmtId="0" fontId="0" fillId="0" borderId="88" xfId="0" applyBorder="1" applyAlignment="1">
      <alignment vertical="center" shrinkToFit="1"/>
    </xf>
    <xf numFmtId="0" fontId="0" fillId="0" borderId="73" xfId="0" applyBorder="1" applyAlignment="1">
      <alignment vertical="center"/>
    </xf>
    <xf numFmtId="0" fontId="47" fillId="0" borderId="91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176" fontId="0" fillId="0" borderId="23" xfId="0" applyNumberForma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0" fontId="47" fillId="0" borderId="97" xfId="0" applyFont="1" applyBorder="1" applyAlignment="1">
      <alignment horizontal="center" vertical="center" wrapText="1"/>
    </xf>
    <xf numFmtId="0" fontId="47" fillId="0" borderId="89" xfId="0" applyFont="1" applyBorder="1" applyAlignment="1">
      <alignment horizontal="center" vertical="center" wrapText="1"/>
    </xf>
    <xf numFmtId="176" fontId="0" fillId="0" borderId="11" xfId="0" applyNumberFormat="1" applyBorder="1" applyAlignment="1">
      <alignment horizontal="center" vertical="center"/>
    </xf>
    <xf numFmtId="0" fontId="48" fillId="0" borderId="97" xfId="0" applyFont="1" applyBorder="1" applyAlignment="1">
      <alignment horizontal="center" vertical="center" shrinkToFit="1"/>
    </xf>
    <xf numFmtId="0" fontId="48" fillId="0" borderId="70" xfId="0" applyFont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49" fillId="0" borderId="89" xfId="0" applyFont="1" applyBorder="1" applyAlignment="1">
      <alignment horizontal="center" vertical="center" shrinkToFit="1"/>
    </xf>
    <xf numFmtId="0" fontId="49" fillId="0" borderId="70" xfId="0" applyFont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49" fillId="0" borderId="70" xfId="0" applyFont="1" applyBorder="1" applyAlignment="1">
      <alignment horizontal="center" vertical="center" wrapText="1"/>
    </xf>
    <xf numFmtId="0" fontId="0" fillId="0" borderId="66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 shrinkToFit="1"/>
    </xf>
    <xf numFmtId="0" fontId="0" fillId="0" borderId="15" xfId="0" applyBorder="1" applyAlignment="1">
      <alignment vertical="center"/>
    </xf>
    <xf numFmtId="176" fontId="0" fillId="0" borderId="10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4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50" fillId="0" borderId="10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67" xfId="0" applyBorder="1" applyAlignment="1">
      <alignment vertical="center"/>
    </xf>
    <xf numFmtId="179" fontId="0" fillId="0" borderId="0" xfId="0" applyNumberFormat="1" applyAlignment="1">
      <alignment vertical="center"/>
    </xf>
    <xf numFmtId="41" fontId="0" fillId="10" borderId="1" xfId="0" applyNumberFormat="1" applyFill="1" applyBorder="1" applyAlignment="1">
      <alignment vertical="center"/>
    </xf>
    <xf numFmtId="0" fontId="25" fillId="0" borderId="90" xfId="0" applyFont="1" applyBorder="1" applyAlignment="1">
      <alignment horizontal="center" vertical="center"/>
    </xf>
    <xf numFmtId="41" fontId="25" fillId="0" borderId="92" xfId="2" applyFont="1" applyFill="1" applyBorder="1" applyAlignment="1">
      <alignment horizontal="center" vertical="center" wrapText="1"/>
    </xf>
    <xf numFmtId="41" fontId="25" fillId="0" borderId="91" xfId="2" applyFont="1" applyFill="1" applyBorder="1" applyAlignment="1">
      <alignment horizontal="center" vertical="center"/>
    </xf>
    <xf numFmtId="0" fontId="25" fillId="0" borderId="93" xfId="0" applyFont="1" applyBorder="1" applyAlignment="1">
      <alignment horizontal="center" vertical="center"/>
    </xf>
    <xf numFmtId="41" fontId="25" fillId="0" borderId="94" xfId="2" applyFont="1" applyFill="1" applyBorder="1" applyAlignment="1">
      <alignment horizontal="center" vertical="center"/>
    </xf>
    <xf numFmtId="41" fontId="25" fillId="0" borderId="95" xfId="2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41" fontId="25" fillId="0" borderId="10" xfId="2" applyFont="1" applyFill="1" applyBorder="1" applyAlignment="1">
      <alignment horizontal="center" vertical="center"/>
    </xf>
    <xf numFmtId="41" fontId="25" fillId="0" borderId="70" xfId="2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41" fontId="25" fillId="0" borderId="23" xfId="2" applyFont="1" applyFill="1" applyBorder="1" applyAlignment="1">
      <alignment horizontal="center" vertical="center"/>
    </xf>
    <xf numFmtId="41" fontId="25" fillId="0" borderId="11" xfId="2" applyFont="1" applyFill="1" applyBorder="1" applyAlignment="1">
      <alignment horizontal="center" vertical="center"/>
    </xf>
    <xf numFmtId="0" fontId="25" fillId="0" borderId="99" xfId="0" applyFont="1" applyBorder="1" applyAlignment="1">
      <alignment horizontal="center" vertical="center"/>
    </xf>
    <xf numFmtId="41" fontId="25" fillId="0" borderId="100" xfId="2" applyFont="1" applyFill="1" applyBorder="1" applyAlignment="1">
      <alignment horizontal="center" vertical="center"/>
    </xf>
    <xf numFmtId="41" fontId="25" fillId="0" borderId="101" xfId="2" applyFont="1" applyFill="1" applyBorder="1" applyAlignment="1">
      <alignment horizontal="center" vertical="center"/>
    </xf>
    <xf numFmtId="0" fontId="25" fillId="0" borderId="102" xfId="0" applyFont="1" applyBorder="1" applyAlignment="1">
      <alignment horizontal="center" vertical="center"/>
    </xf>
    <xf numFmtId="41" fontId="25" fillId="0" borderId="103" xfId="2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41" fontId="25" fillId="0" borderId="19" xfId="2" applyFont="1" applyFill="1" applyBorder="1" applyAlignment="1">
      <alignment horizontal="center" vertical="center"/>
    </xf>
    <xf numFmtId="41" fontId="25" fillId="0" borderId="20" xfId="2" applyFont="1" applyFill="1" applyBorder="1" applyAlignment="1">
      <alignment horizontal="center" vertical="center"/>
    </xf>
    <xf numFmtId="0" fontId="25" fillId="0" borderId="72" xfId="0" applyFont="1" applyBorder="1" applyAlignment="1">
      <alignment horizontal="center" vertical="center"/>
    </xf>
    <xf numFmtId="41" fontId="25" fillId="0" borderId="2" xfId="2" applyFont="1" applyFill="1" applyBorder="1" applyAlignment="1">
      <alignment horizontal="center" vertical="center"/>
    </xf>
    <xf numFmtId="41" fontId="25" fillId="0" borderId="24" xfId="2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41" fontId="25" fillId="0" borderId="29" xfId="2" applyFont="1" applyFill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176" fontId="26" fillId="0" borderId="55" xfId="0" applyNumberFormat="1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176" fontId="26" fillId="0" borderId="10" xfId="0" applyNumberFormat="1" applyFont="1" applyBorder="1" applyAlignment="1">
      <alignment horizontal="center" vertical="center"/>
    </xf>
    <xf numFmtId="176" fontId="26" fillId="0" borderId="11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176" fontId="25" fillId="0" borderId="19" xfId="0" applyNumberFormat="1" applyFont="1" applyBorder="1" applyAlignment="1">
      <alignment horizontal="center" vertical="center"/>
    </xf>
    <xf numFmtId="176" fontId="25" fillId="0" borderId="20" xfId="0" applyNumberFormat="1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176" fontId="26" fillId="0" borderId="35" xfId="0" applyNumberFormat="1" applyFont="1" applyBorder="1" applyAlignment="1">
      <alignment horizontal="center" vertical="center"/>
    </xf>
    <xf numFmtId="176" fontId="26" fillId="0" borderId="36" xfId="0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176" fontId="25" fillId="0" borderId="39" xfId="0" applyNumberFormat="1" applyFont="1" applyBorder="1" applyAlignment="1">
      <alignment horizontal="center" vertical="center"/>
    </xf>
    <xf numFmtId="176" fontId="25" fillId="0" borderId="40" xfId="0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176" fontId="26" fillId="0" borderId="23" xfId="0" applyNumberFormat="1" applyFont="1" applyBorder="1" applyAlignment="1">
      <alignment horizontal="center" vertical="center"/>
    </xf>
    <xf numFmtId="176" fontId="26" fillId="0" borderId="24" xfId="0" applyNumberFormat="1" applyFont="1" applyBorder="1" applyAlignment="1">
      <alignment horizontal="center" vertical="center"/>
    </xf>
    <xf numFmtId="176" fontId="26" fillId="0" borderId="2" xfId="0" applyNumberFormat="1" applyFont="1" applyBorder="1" applyAlignment="1">
      <alignment horizontal="center" vertical="center"/>
    </xf>
    <xf numFmtId="176" fontId="26" fillId="0" borderId="29" xfId="0" applyNumberFormat="1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25" fillId="0" borderId="96" xfId="0" applyFont="1" applyBorder="1" applyAlignment="1">
      <alignment horizontal="center" vertical="center"/>
    </xf>
    <xf numFmtId="41" fontId="25" fillId="0" borderId="98" xfId="2" applyFont="1" applyFill="1" applyBorder="1" applyAlignment="1">
      <alignment horizontal="center" vertical="center" wrapText="1"/>
    </xf>
    <xf numFmtId="41" fontId="25" fillId="0" borderId="97" xfId="2" applyFont="1" applyFill="1" applyBorder="1" applyAlignment="1">
      <alignment horizontal="center" vertical="center"/>
    </xf>
    <xf numFmtId="41" fontId="25" fillId="0" borderId="89" xfId="2" applyFont="1" applyFill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41" fontId="25" fillId="0" borderId="10" xfId="2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/>
    </xf>
    <xf numFmtId="41" fontId="26" fillId="0" borderId="35" xfId="2" applyFont="1" applyFill="1" applyBorder="1" applyAlignment="1">
      <alignment horizontal="center" vertical="center"/>
    </xf>
    <xf numFmtId="41" fontId="26" fillId="0" borderId="36" xfId="2" applyFont="1" applyFill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41" fontId="25" fillId="0" borderId="39" xfId="2" applyFont="1" applyFill="1" applyBorder="1" applyAlignment="1">
      <alignment horizontal="center" vertical="center"/>
    </xf>
    <xf numFmtId="41" fontId="25" fillId="0" borderId="40" xfId="2" applyFont="1" applyFill="1" applyBorder="1" applyAlignment="1">
      <alignment horizontal="center" vertical="center"/>
    </xf>
    <xf numFmtId="41" fontId="26" fillId="0" borderId="23" xfId="2" applyFont="1" applyFill="1" applyBorder="1" applyAlignment="1">
      <alignment horizontal="center" vertical="center"/>
    </xf>
    <xf numFmtId="41" fontId="26" fillId="0" borderId="24" xfId="2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41" fontId="26" fillId="0" borderId="5" xfId="2" applyFont="1" applyFill="1" applyBorder="1" applyAlignment="1">
      <alignment horizontal="center" vertical="center"/>
    </xf>
    <xf numFmtId="41" fontId="26" fillId="0" borderId="6" xfId="2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41" fontId="26" fillId="0" borderId="2" xfId="2" applyFont="1" applyFill="1" applyBorder="1" applyAlignment="1">
      <alignment horizontal="center" vertical="center"/>
    </xf>
    <xf numFmtId="41" fontId="26" fillId="0" borderId="29" xfId="2" applyFont="1" applyFill="1" applyBorder="1" applyAlignment="1">
      <alignment horizontal="center" vertical="center"/>
    </xf>
    <xf numFmtId="41" fontId="25" fillId="0" borderId="71" xfId="2" applyFont="1" applyFill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41" fontId="25" fillId="0" borderId="61" xfId="2" applyFont="1" applyFill="1" applyBorder="1" applyAlignment="1">
      <alignment horizontal="center" vertical="center"/>
    </xf>
    <xf numFmtId="41" fontId="25" fillId="0" borderId="26" xfId="2" applyFont="1" applyFill="1" applyBorder="1" applyAlignment="1">
      <alignment horizontal="center" vertical="center"/>
    </xf>
    <xf numFmtId="41" fontId="25" fillId="0" borderId="27" xfId="2" applyFont="1" applyFill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52" fillId="0" borderId="89" xfId="0" applyFont="1" applyBorder="1" applyAlignment="1">
      <alignment horizontal="center" vertical="center" wrapText="1"/>
    </xf>
    <xf numFmtId="41" fontId="25" fillId="0" borderId="0" xfId="2" applyFont="1" applyFill="1" applyBorder="1" applyAlignment="1">
      <alignment horizontal="center" vertical="center" wrapText="1"/>
    </xf>
    <xf numFmtId="0" fontId="47" fillId="0" borderId="110" xfId="0" applyFont="1" applyBorder="1" applyAlignment="1">
      <alignment horizontal="center" vertical="center" wrapText="1"/>
    </xf>
    <xf numFmtId="0" fontId="25" fillId="0" borderId="115" xfId="0" applyFont="1" applyBorder="1" applyAlignment="1">
      <alignment horizontal="center" vertical="center" wrapText="1"/>
    </xf>
    <xf numFmtId="41" fontId="25" fillId="0" borderId="116" xfId="2" applyFont="1" applyFill="1" applyBorder="1" applyAlignment="1">
      <alignment horizontal="center" vertical="center" wrapText="1"/>
    </xf>
    <xf numFmtId="41" fontId="25" fillId="0" borderId="110" xfId="2" applyFont="1" applyFill="1" applyBorder="1" applyAlignment="1">
      <alignment horizontal="center" vertical="center"/>
    </xf>
    <xf numFmtId="41" fontId="25" fillId="0" borderId="22" xfId="2" applyFont="1" applyFill="1" applyBorder="1" applyAlignment="1">
      <alignment horizontal="center" vertical="center"/>
    </xf>
    <xf numFmtId="41" fontId="0" fillId="0" borderId="0" xfId="2" applyFont="1" applyFill="1" applyAlignment="1">
      <alignment vertical="center"/>
    </xf>
    <xf numFmtId="0" fontId="48" fillId="0" borderId="22" xfId="0" applyFont="1" applyBorder="1" applyAlignment="1">
      <alignment horizontal="center" vertical="center" wrapText="1"/>
    </xf>
    <xf numFmtId="0" fontId="48" fillId="0" borderId="89" xfId="0" applyFont="1" applyBorder="1" applyAlignment="1">
      <alignment horizontal="center" vertical="center" wrapText="1"/>
    </xf>
    <xf numFmtId="0" fontId="28" fillId="8" borderId="76" xfId="0" applyFont="1" applyFill="1" applyBorder="1" applyAlignment="1">
      <alignment horizontal="center" vertical="center" wrapText="1"/>
    </xf>
    <xf numFmtId="10" fontId="53" fillId="12" borderId="1" xfId="6" applyNumberFormat="1" applyBorder="1" applyAlignment="1">
      <alignment vertical="center"/>
    </xf>
    <xf numFmtId="10" fontId="54" fillId="13" borderId="75" xfId="7" applyNumberFormat="1" applyBorder="1" applyAlignment="1">
      <alignment horizontal="right" vertical="center" wrapText="1"/>
    </xf>
    <xf numFmtId="185" fontId="0" fillId="0" borderId="0" xfId="0" applyNumberFormat="1" applyAlignment="1">
      <alignment vertical="center"/>
    </xf>
    <xf numFmtId="0" fontId="51" fillId="0" borderId="111" xfId="0" applyFont="1" applyBorder="1" applyAlignment="1">
      <alignment horizontal="center" vertical="center" wrapText="1"/>
    </xf>
    <xf numFmtId="0" fontId="25" fillId="14" borderId="8" xfId="0" applyFont="1" applyFill="1" applyBorder="1" applyAlignment="1">
      <alignment horizontal="center" vertical="center"/>
    </xf>
    <xf numFmtId="41" fontId="25" fillId="14" borderId="23" xfId="2" applyFont="1" applyFill="1" applyBorder="1" applyAlignment="1">
      <alignment horizontal="center" vertical="center"/>
    </xf>
    <xf numFmtId="41" fontId="25" fillId="14" borderId="89" xfId="2" applyFont="1" applyFill="1" applyBorder="1" applyAlignment="1">
      <alignment horizontal="center" vertical="center"/>
    </xf>
    <xf numFmtId="0" fontId="25" fillId="14" borderId="72" xfId="0" applyFont="1" applyFill="1" applyBorder="1" applyAlignment="1">
      <alignment horizontal="center" vertical="center"/>
    </xf>
    <xf numFmtId="41" fontId="25" fillId="14" borderId="2" xfId="2" applyFont="1" applyFill="1" applyBorder="1" applyAlignment="1">
      <alignment horizontal="center" vertical="center"/>
    </xf>
    <xf numFmtId="41" fontId="25" fillId="14" borderId="20" xfId="2" applyFont="1" applyFill="1" applyBorder="1" applyAlignment="1">
      <alignment horizontal="center" vertical="center"/>
    </xf>
    <xf numFmtId="0" fontId="25" fillId="14" borderId="112" xfId="0" applyFont="1" applyFill="1" applyBorder="1" applyAlignment="1">
      <alignment horizontal="center" vertical="center"/>
    </xf>
    <xf numFmtId="41" fontId="25" fillId="14" borderId="113" xfId="2" applyFont="1" applyFill="1" applyBorder="1" applyAlignment="1">
      <alignment horizontal="center" vertical="center"/>
    </xf>
    <xf numFmtId="41" fontId="25" fillId="14" borderId="114" xfId="2" applyFont="1" applyFill="1" applyBorder="1" applyAlignment="1">
      <alignment horizontal="center" vertical="center"/>
    </xf>
    <xf numFmtId="0" fontId="25" fillId="14" borderId="115" xfId="0" applyFont="1" applyFill="1" applyBorder="1" applyAlignment="1">
      <alignment horizontal="center" vertical="center"/>
    </xf>
    <xf numFmtId="41" fontId="25" fillId="14" borderId="116" xfId="2" applyFont="1" applyFill="1" applyBorder="1" applyAlignment="1">
      <alignment horizontal="center" vertical="center"/>
    </xf>
    <xf numFmtId="41" fontId="25" fillId="14" borderId="117" xfId="2" applyFont="1" applyFill="1" applyBorder="1" applyAlignment="1">
      <alignment horizontal="center" vertical="center"/>
    </xf>
    <xf numFmtId="0" fontId="25" fillId="14" borderId="93" xfId="0" applyFont="1" applyFill="1" applyBorder="1" applyAlignment="1">
      <alignment horizontal="center" vertical="center"/>
    </xf>
    <xf numFmtId="41" fontId="25" fillId="14" borderId="94" xfId="2" applyFont="1" applyFill="1" applyBorder="1" applyAlignment="1">
      <alignment horizontal="center" vertical="center"/>
    </xf>
    <xf numFmtId="41" fontId="25" fillId="14" borderId="95" xfId="2" applyFont="1" applyFill="1" applyBorder="1" applyAlignment="1">
      <alignment horizontal="center" vertical="center"/>
    </xf>
    <xf numFmtId="41" fontId="25" fillId="14" borderId="11" xfId="2" applyFont="1" applyFill="1" applyBorder="1" applyAlignment="1">
      <alignment horizontal="center" vertical="center"/>
    </xf>
    <xf numFmtId="0" fontId="25" fillId="14" borderId="99" xfId="0" applyFont="1" applyFill="1" applyBorder="1" applyAlignment="1">
      <alignment horizontal="center" vertical="center"/>
    </xf>
    <xf numFmtId="41" fontId="25" fillId="14" borderId="100" xfId="2" applyFont="1" applyFill="1" applyBorder="1" applyAlignment="1">
      <alignment horizontal="center" vertical="center"/>
    </xf>
    <xf numFmtId="41" fontId="25" fillId="14" borderId="101" xfId="2" applyFont="1" applyFill="1" applyBorder="1" applyAlignment="1">
      <alignment horizontal="center" vertical="center"/>
    </xf>
    <xf numFmtId="0" fontId="25" fillId="14" borderId="102" xfId="0" applyFont="1" applyFill="1" applyBorder="1" applyAlignment="1">
      <alignment horizontal="center" vertical="center"/>
    </xf>
    <xf numFmtId="41" fontId="25" fillId="14" borderId="103" xfId="2" applyFont="1" applyFill="1" applyBorder="1" applyAlignment="1">
      <alignment horizontal="center" vertical="center"/>
    </xf>
    <xf numFmtId="0" fontId="25" fillId="14" borderId="105" xfId="0" applyFont="1" applyFill="1" applyBorder="1" applyAlignment="1">
      <alignment horizontal="center" vertical="center"/>
    </xf>
    <xf numFmtId="41" fontId="25" fillId="14" borderId="91" xfId="2" applyFont="1" applyFill="1" applyBorder="1" applyAlignment="1">
      <alignment horizontal="center" vertical="center"/>
    </xf>
    <xf numFmtId="0" fontId="25" fillId="14" borderId="12" xfId="0" applyFont="1" applyFill="1" applyBorder="1" applyAlignment="1">
      <alignment horizontal="center" vertical="center"/>
    </xf>
    <xf numFmtId="41" fontId="25" fillId="14" borderId="70" xfId="2" applyFont="1" applyFill="1" applyBorder="1" applyAlignment="1">
      <alignment horizontal="center" vertical="center"/>
    </xf>
    <xf numFmtId="0" fontId="25" fillId="14" borderId="106" xfId="0" applyFont="1" applyFill="1" applyBorder="1" applyAlignment="1">
      <alignment horizontal="center" vertical="center"/>
    </xf>
    <xf numFmtId="41" fontId="25" fillId="14" borderId="24" xfId="2" applyFont="1" applyFill="1" applyBorder="1" applyAlignment="1">
      <alignment horizontal="center" vertical="center"/>
    </xf>
    <xf numFmtId="0" fontId="25" fillId="14" borderId="73" xfId="0" applyFont="1" applyFill="1" applyBorder="1" applyAlignment="1">
      <alignment horizontal="center" vertical="center"/>
    </xf>
    <xf numFmtId="41" fontId="25" fillId="14" borderId="22" xfId="2" applyFont="1" applyFill="1" applyBorder="1" applyAlignment="1">
      <alignment horizontal="center" vertical="center"/>
    </xf>
    <xf numFmtId="41" fontId="25" fillId="14" borderId="29" xfId="2" applyFont="1" applyFill="1" applyBorder="1" applyAlignment="1">
      <alignment horizontal="center" vertical="center"/>
    </xf>
    <xf numFmtId="41" fontId="25" fillId="14" borderId="111" xfId="2" applyFont="1" applyFill="1" applyBorder="1" applyAlignment="1">
      <alignment horizontal="center" vertical="center"/>
    </xf>
    <xf numFmtId="41" fontId="25" fillId="14" borderId="118" xfId="2" applyFont="1" applyFill="1" applyBorder="1" applyAlignment="1">
      <alignment horizontal="center" vertical="center"/>
    </xf>
    <xf numFmtId="41" fontId="25" fillId="14" borderId="119" xfId="2" applyFont="1" applyFill="1" applyBorder="1" applyAlignment="1">
      <alignment horizontal="center" vertical="center"/>
    </xf>
    <xf numFmtId="0" fontId="25" fillId="14" borderId="90" xfId="0" applyFont="1" applyFill="1" applyBorder="1" applyAlignment="1">
      <alignment horizontal="center" vertical="center"/>
    </xf>
    <xf numFmtId="41" fontId="25" fillId="14" borderId="92" xfId="2" applyFont="1" applyFill="1" applyBorder="1" applyAlignment="1">
      <alignment horizontal="center" vertical="center" wrapText="1"/>
    </xf>
    <xf numFmtId="0" fontId="25" fillId="14" borderId="120" xfId="0" applyFont="1" applyFill="1" applyBorder="1" applyAlignment="1">
      <alignment horizontal="center" vertical="center"/>
    </xf>
    <xf numFmtId="41" fontId="25" fillId="14" borderId="121" xfId="2" applyFont="1" applyFill="1" applyBorder="1" applyAlignment="1">
      <alignment horizontal="center" vertical="center" wrapText="1"/>
    </xf>
    <xf numFmtId="41" fontId="25" fillId="14" borderId="122" xfId="2" applyFont="1" applyFill="1" applyBorder="1" applyAlignment="1">
      <alignment horizontal="center" vertical="center"/>
    </xf>
    <xf numFmtId="0" fontId="25" fillId="14" borderId="69" xfId="0" applyFont="1" applyFill="1" applyBorder="1" applyAlignment="1">
      <alignment horizontal="center" vertical="center"/>
    </xf>
    <xf numFmtId="41" fontId="25" fillId="14" borderId="0" xfId="2" applyFont="1" applyFill="1" applyBorder="1" applyAlignment="1">
      <alignment horizontal="center" vertical="center" wrapText="1"/>
    </xf>
    <xf numFmtId="41" fontId="25" fillId="14" borderId="10" xfId="2" applyFont="1" applyFill="1" applyBorder="1" applyAlignment="1">
      <alignment horizontal="center" vertical="center"/>
    </xf>
    <xf numFmtId="41" fontId="25" fillId="14" borderId="97" xfId="2" applyFont="1" applyFill="1" applyBorder="1" applyAlignment="1">
      <alignment horizontal="center" vertical="center"/>
    </xf>
    <xf numFmtId="176" fontId="16" fillId="0" borderId="123" xfId="0" applyNumberFormat="1" applyFont="1" applyBorder="1" applyAlignment="1">
      <alignment vertical="center"/>
    </xf>
    <xf numFmtId="178" fontId="13" fillId="0" borderId="123" xfId="0" applyNumberFormat="1" applyFont="1" applyBorder="1" applyAlignment="1">
      <alignment vertical="center"/>
    </xf>
    <xf numFmtId="0" fontId="25" fillId="7" borderId="74" xfId="0" applyFont="1" applyFill="1" applyBorder="1" applyAlignment="1">
      <alignment horizontal="center" vertical="center"/>
    </xf>
    <xf numFmtId="41" fontId="25" fillId="7" borderId="109" xfId="2" applyFont="1" applyFill="1" applyBorder="1" applyAlignment="1">
      <alignment horizontal="center" vertical="center" wrapText="1"/>
    </xf>
    <xf numFmtId="41" fontId="25" fillId="7" borderId="91" xfId="2" applyFont="1" applyFill="1" applyBorder="1" applyAlignment="1">
      <alignment horizontal="center" vertical="center"/>
    </xf>
    <xf numFmtId="0" fontId="25" fillId="7" borderId="72" xfId="0" applyFont="1" applyFill="1" applyBorder="1" applyAlignment="1">
      <alignment horizontal="center" vertical="center"/>
    </xf>
    <xf numFmtId="41" fontId="25" fillId="7" borderId="2" xfId="2" applyFont="1" applyFill="1" applyBorder="1" applyAlignment="1">
      <alignment horizontal="center" vertical="center"/>
    </xf>
    <xf numFmtId="41" fontId="25" fillId="7" borderId="20" xfId="2" applyFont="1" applyFill="1" applyBorder="1" applyAlignment="1">
      <alignment horizontal="center" vertical="center"/>
    </xf>
    <xf numFmtId="41" fontId="25" fillId="7" borderId="23" xfId="2" applyFont="1" applyFill="1" applyBorder="1" applyAlignment="1">
      <alignment horizontal="center" vertical="center"/>
    </xf>
    <xf numFmtId="41" fontId="25" fillId="7" borderId="11" xfId="2" applyFont="1" applyFill="1" applyBorder="1" applyAlignment="1">
      <alignment horizontal="center" vertical="center"/>
    </xf>
    <xf numFmtId="0" fontId="25" fillId="7" borderId="112" xfId="0" applyFont="1" applyFill="1" applyBorder="1" applyAlignment="1">
      <alignment horizontal="center" vertical="center"/>
    </xf>
    <xf numFmtId="41" fontId="25" fillId="7" borderId="113" xfId="2" applyFont="1" applyFill="1" applyBorder="1" applyAlignment="1">
      <alignment horizontal="center" vertical="center"/>
    </xf>
    <xf numFmtId="41" fontId="25" fillId="7" borderId="111" xfId="2" applyFont="1" applyFill="1" applyBorder="1" applyAlignment="1">
      <alignment horizontal="center" vertical="center"/>
    </xf>
    <xf numFmtId="0" fontId="28" fillId="8" borderId="84" xfId="0" applyFont="1" applyFill="1" applyBorder="1" applyAlignment="1">
      <alignment horizontal="center" vertical="center" wrapText="1"/>
    </xf>
    <xf numFmtId="0" fontId="28" fillId="8" borderId="79" xfId="0" applyFont="1" applyFill="1" applyBorder="1" applyAlignment="1">
      <alignment vertical="center" wrapText="1"/>
    </xf>
    <xf numFmtId="0" fontId="55" fillId="0" borderId="13" xfId="7" applyFont="1" applyFill="1" applyBorder="1" applyAlignment="1">
      <alignment horizontal="center" vertical="center"/>
    </xf>
    <xf numFmtId="41" fontId="55" fillId="0" borderId="10" xfId="7" applyNumberFormat="1" applyFont="1" applyFill="1" applyBorder="1" applyAlignment="1">
      <alignment horizontal="center" vertical="center"/>
    </xf>
    <xf numFmtId="41" fontId="1" fillId="0" borderId="11" xfId="2" applyFont="1" applyFill="1" applyBorder="1" applyAlignment="1">
      <alignment horizontal="center" vertical="center"/>
    </xf>
    <xf numFmtId="177" fontId="28" fillId="15" borderId="75" xfId="1" applyNumberFormat="1" applyFont="1" applyFill="1" applyBorder="1" applyAlignment="1">
      <alignment horizontal="right" vertical="center" wrapText="1"/>
    </xf>
    <xf numFmtId="41" fontId="39" fillId="0" borderId="0" xfId="2" applyFont="1" applyFill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3" fillId="0" borderId="48" xfId="0" applyFont="1" applyBorder="1" applyAlignment="1">
      <alignment horizontal="left" vertical="center"/>
    </xf>
    <xf numFmtId="0" fontId="28" fillId="8" borderId="76" xfId="0" applyFont="1" applyFill="1" applyBorder="1" applyAlignment="1">
      <alignment horizontal="center" vertical="center" wrapText="1"/>
    </xf>
    <xf numFmtId="0" fontId="28" fillId="8" borderId="77" xfId="0" applyFont="1" applyFill="1" applyBorder="1" applyAlignment="1">
      <alignment horizontal="center" vertical="center" wrapText="1"/>
    </xf>
    <xf numFmtId="0" fontId="28" fillId="8" borderId="84" xfId="0" applyFont="1" applyFill="1" applyBorder="1" applyAlignment="1">
      <alignment horizontal="center" vertical="center" wrapText="1"/>
    </xf>
    <xf numFmtId="0" fontId="28" fillId="8" borderId="86" xfId="0" applyFont="1" applyFill="1" applyBorder="1" applyAlignment="1">
      <alignment horizontal="center" vertical="center" wrapText="1"/>
    </xf>
    <xf numFmtId="0" fontId="28" fillId="8" borderId="87" xfId="0" applyFont="1" applyFill="1" applyBorder="1" applyAlignment="1">
      <alignment horizontal="center" vertical="center" wrapText="1"/>
    </xf>
    <xf numFmtId="0" fontId="28" fillId="8" borderId="78" xfId="0" applyFont="1" applyFill="1" applyBorder="1" applyAlignment="1">
      <alignment horizontal="center" vertical="center" wrapText="1"/>
    </xf>
    <xf numFmtId="0" fontId="28" fillId="8" borderId="80" xfId="0" applyFont="1" applyFill="1" applyBorder="1" applyAlignment="1">
      <alignment horizontal="center" vertical="center" wrapText="1"/>
    </xf>
    <xf numFmtId="0" fontId="28" fillId="8" borderId="81" xfId="0" applyFont="1" applyFill="1" applyBorder="1" applyAlignment="1">
      <alignment horizontal="center" vertical="center" wrapText="1"/>
    </xf>
    <xf numFmtId="0" fontId="28" fillId="8" borderId="83" xfId="0" applyFont="1" applyFill="1" applyBorder="1" applyAlignment="1">
      <alignment horizontal="center" vertical="center" wrapText="1"/>
    </xf>
    <xf numFmtId="0" fontId="22" fillId="8" borderId="84" xfId="0" applyFont="1" applyFill="1" applyBorder="1" applyAlignment="1">
      <alignment horizontal="center" vertical="center" wrapText="1"/>
    </xf>
    <xf numFmtId="0" fontId="22" fillId="8" borderId="85" xfId="0" applyFont="1" applyFill="1" applyBorder="1" applyAlignment="1">
      <alignment horizontal="center" vertical="center" wrapText="1"/>
    </xf>
    <xf numFmtId="0" fontId="22" fillId="8" borderId="86" xfId="0" applyFont="1" applyFill="1" applyBorder="1" applyAlignment="1">
      <alignment horizontal="center" vertical="center" wrapText="1"/>
    </xf>
    <xf numFmtId="0" fontId="28" fillId="8" borderId="8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8" fillId="8" borderId="79" xfId="0" applyFont="1" applyFill="1" applyBorder="1" applyAlignment="1">
      <alignment horizontal="center" vertical="center" wrapText="1"/>
    </xf>
    <xf numFmtId="0" fontId="28" fillId="8" borderId="82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/>
    </xf>
    <xf numFmtId="0" fontId="14" fillId="2" borderId="59" xfId="0" applyFont="1" applyFill="1" applyBorder="1" applyAlignment="1">
      <alignment horizontal="center" vertical="center"/>
    </xf>
    <xf numFmtId="0" fontId="0" fillId="9" borderId="90" xfId="0" applyFill="1" applyBorder="1" applyAlignment="1">
      <alignment horizontal="center" vertical="center"/>
    </xf>
    <xf numFmtId="0" fontId="0" fillId="9" borderId="74" xfId="0" applyFill="1" applyBorder="1" applyAlignment="1">
      <alignment horizontal="center" vertical="center"/>
    </xf>
    <xf numFmtId="0" fontId="0" fillId="9" borderId="96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0" fillId="9" borderId="68" xfId="0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29" fillId="0" borderId="107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69" xfId="0" applyFont="1" applyBorder="1" applyAlignment="1">
      <alignment horizontal="center" vertical="center"/>
    </xf>
    <xf numFmtId="0" fontId="0" fillId="9" borderId="107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08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</cellXfs>
  <cellStyles count="8">
    <cellStyle name="강조색2" xfId="7" builtinId="33"/>
    <cellStyle name="나쁨" xfId="6" builtinId="27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5" xr:uid="{00000000-0005-0000-0000-000006000000}"/>
    <cellStyle name="표준 3" xfId="3" xr:uid="{00000000-0005-0000-0000-000007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P48"/>
  <sheetViews>
    <sheetView tabSelected="1" topLeftCell="A10" zoomScale="85" zoomScaleNormal="85" workbookViewId="0">
      <selection activeCell="N38" sqref="N38"/>
    </sheetView>
  </sheetViews>
  <sheetFormatPr defaultColWidth="8.88671875" defaultRowHeight="13.5" x14ac:dyDescent="0.15"/>
  <cols>
    <col min="1" max="1" width="3.21875" style="3" customWidth="1"/>
    <col min="2" max="2" width="18.33203125" style="3" customWidth="1"/>
    <col min="3" max="3" width="14.77734375" style="3" customWidth="1"/>
    <col min="4" max="4" width="14.5546875" style="3" customWidth="1"/>
    <col min="5" max="5" width="12.77734375" style="3" bestFit="1" customWidth="1"/>
    <col min="6" max="6" width="12.5546875" style="3" customWidth="1"/>
    <col min="7" max="7" width="12.21875" style="3" bestFit="1" customWidth="1"/>
    <col min="8" max="8" width="12.109375" style="3" customWidth="1"/>
    <col min="9" max="9" width="14.44140625" style="3" bestFit="1" customWidth="1"/>
    <col min="10" max="10" width="14.5546875" style="3" customWidth="1"/>
    <col min="11" max="11" width="14" style="3" bestFit="1" customWidth="1"/>
    <col min="12" max="12" width="9.88671875" style="3" customWidth="1"/>
    <col min="13" max="13" width="10.109375" style="3" customWidth="1"/>
    <col min="14" max="14" width="10.5546875" style="3" customWidth="1"/>
    <col min="15" max="15" width="11.77734375" style="3" customWidth="1"/>
    <col min="16" max="16" width="11.21875" style="3" customWidth="1"/>
    <col min="17" max="16384" width="8.88671875" style="3"/>
  </cols>
  <sheetData>
    <row r="1" spans="1:16" ht="22.5" x14ac:dyDescent="0.15">
      <c r="B1" s="373" t="s">
        <v>142</v>
      </c>
      <c r="C1" s="373"/>
      <c r="D1" s="373"/>
      <c r="E1" s="373"/>
      <c r="F1" s="373"/>
      <c r="G1" s="373"/>
      <c r="H1" s="373"/>
      <c r="I1" s="373"/>
    </row>
    <row r="2" spans="1:16" ht="16.5" x14ac:dyDescent="0.15">
      <c r="E2" s="131"/>
      <c r="F2" s="14"/>
      <c r="G2" s="14"/>
      <c r="H2" s="14" t="s">
        <v>61</v>
      </c>
      <c r="I2" s="104">
        <v>46067</v>
      </c>
      <c r="J2" s="3" t="s">
        <v>115</v>
      </c>
      <c r="K2" s="104"/>
    </row>
    <row r="3" spans="1:16" ht="14.25" x14ac:dyDescent="0.15">
      <c r="B3" s="46" t="s">
        <v>30</v>
      </c>
      <c r="C3" s="47">
        <v>195000</v>
      </c>
      <c r="D3" s="47">
        <v>316000</v>
      </c>
      <c r="E3" s="47">
        <v>316000</v>
      </c>
      <c r="F3" s="47">
        <v>316000</v>
      </c>
      <c r="G3" s="47">
        <v>316000</v>
      </c>
      <c r="H3" s="47"/>
      <c r="I3" s="45">
        <f>SUM(C3:H3)</f>
        <v>1459000</v>
      </c>
      <c r="J3" s="97"/>
      <c r="L3" s="3" t="s">
        <v>103</v>
      </c>
    </row>
    <row r="4" spans="1:16" ht="22.5" customHeight="1" thickBot="1" x14ac:dyDescent="0.2">
      <c r="A4" s="358" t="s">
        <v>21</v>
      </c>
      <c r="B4" s="358"/>
      <c r="C4" s="31" t="s">
        <v>19</v>
      </c>
      <c r="D4" s="55" t="s">
        <v>18</v>
      </c>
      <c r="E4" s="31" t="s">
        <v>20</v>
      </c>
      <c r="F4" s="55" t="s">
        <v>68</v>
      </c>
      <c r="G4" s="50" t="s">
        <v>101</v>
      </c>
      <c r="H4" s="55"/>
      <c r="I4" s="32" t="s">
        <v>104</v>
      </c>
      <c r="J4" s="90" t="s">
        <v>9</v>
      </c>
      <c r="L4" s="3" t="s">
        <v>19</v>
      </c>
      <c r="M4" s="3" t="s">
        <v>18</v>
      </c>
      <c r="N4" s="3" t="s">
        <v>20</v>
      </c>
      <c r="O4" s="3" t="s">
        <v>26</v>
      </c>
      <c r="P4" s="3" t="s">
        <v>27</v>
      </c>
    </row>
    <row r="5" spans="1:16" ht="22.5" customHeight="1" thickTop="1" x14ac:dyDescent="0.15">
      <c r="A5" s="359" t="s">
        <v>31</v>
      </c>
      <c r="B5" s="359"/>
      <c r="C5" s="29">
        <f t="shared" ref="C5:E5" si="0">SUM(C6:C11)</f>
        <v>172414</v>
      </c>
      <c r="D5" s="56">
        <f t="shared" si="0"/>
        <v>279400</v>
      </c>
      <c r="E5" s="29">
        <f t="shared" si="0"/>
        <v>279400</v>
      </c>
      <c r="F5" s="88">
        <f>SUM(F6:F11)</f>
        <v>279400</v>
      </c>
      <c r="G5" s="29">
        <f t="shared" ref="G5" si="1">SUM(G6:G11)</f>
        <v>279400</v>
      </c>
      <c r="H5" s="56"/>
      <c r="I5" s="33">
        <f>SUM(C5:H5)</f>
        <v>1290014</v>
      </c>
      <c r="J5" s="30">
        <f>I5/$I$13</f>
        <v>0.88417683344756681</v>
      </c>
      <c r="L5" s="13">
        <f>C5/C$13</f>
        <v>0.88417435897435892</v>
      </c>
      <c r="M5" s="13">
        <f t="shared" ref="M5:P13" si="2">D5/D$13</f>
        <v>0.88417721518987347</v>
      </c>
      <c r="N5" s="13">
        <f t="shared" si="2"/>
        <v>0.88417721518987347</v>
      </c>
      <c r="O5" s="13">
        <f t="shared" si="2"/>
        <v>0.88417721518987347</v>
      </c>
      <c r="P5" s="13">
        <f t="shared" si="2"/>
        <v>0.88417721518987347</v>
      </c>
    </row>
    <row r="6" spans="1:16" s="11" customFormat="1" ht="22.5" customHeight="1" x14ac:dyDescent="0.15">
      <c r="A6" s="1"/>
      <c r="B6" s="1" t="s">
        <v>38</v>
      </c>
      <c r="C6" s="27">
        <f>인건비!E11</f>
        <v>56400</v>
      </c>
      <c r="D6" s="120">
        <f>인건비!G11</f>
        <v>125100</v>
      </c>
      <c r="E6" s="27">
        <f>인건비!I11</f>
        <v>93900</v>
      </c>
      <c r="F6" s="61">
        <f>인건비!K11</f>
        <v>66199</v>
      </c>
      <c r="G6" s="27">
        <f>인건비!M11</f>
        <v>125100</v>
      </c>
      <c r="H6" s="57"/>
      <c r="I6" s="33">
        <f>SUM(C6:G6)</f>
        <v>466699</v>
      </c>
      <c r="J6" s="28">
        <f>I6/$I$13</f>
        <v>0.31987594242631939</v>
      </c>
      <c r="L6" s="13">
        <f t="shared" ref="L6:L13" si="3">C6/C$13</f>
        <v>0.28923076923076924</v>
      </c>
      <c r="M6" s="13">
        <f t="shared" si="2"/>
        <v>0.39588607594936709</v>
      </c>
      <c r="N6" s="13">
        <f t="shared" si="2"/>
        <v>0.29715189873417719</v>
      </c>
      <c r="O6" s="13">
        <f t="shared" si="2"/>
        <v>0.20949050632911392</v>
      </c>
      <c r="P6" s="13">
        <f t="shared" si="2"/>
        <v>0.39588607594936709</v>
      </c>
    </row>
    <row r="7" spans="1:16" s="11" customFormat="1" ht="22.5" customHeight="1" x14ac:dyDescent="0.15">
      <c r="A7" s="1"/>
      <c r="B7" s="1" t="s">
        <v>39</v>
      </c>
      <c r="C7" s="27">
        <v>0</v>
      </c>
      <c r="D7" s="57">
        <v>0</v>
      </c>
      <c r="E7" s="27">
        <v>0</v>
      </c>
      <c r="F7" s="61">
        <v>0</v>
      </c>
      <c r="G7" s="27">
        <v>0</v>
      </c>
      <c r="H7" s="57"/>
      <c r="I7" s="33">
        <f>SUM(C7:H7)</f>
        <v>0</v>
      </c>
      <c r="J7" s="28"/>
      <c r="L7" s="13">
        <f t="shared" si="3"/>
        <v>0</v>
      </c>
      <c r="M7" s="13">
        <f t="shared" si="2"/>
        <v>0</v>
      </c>
      <c r="N7" s="13">
        <f t="shared" si="2"/>
        <v>0</v>
      </c>
      <c r="O7" s="13">
        <f t="shared" si="2"/>
        <v>0</v>
      </c>
      <c r="P7" s="13">
        <f t="shared" si="2"/>
        <v>0</v>
      </c>
    </row>
    <row r="8" spans="1:16" s="11" customFormat="1" ht="22.5" customHeight="1" x14ac:dyDescent="0.15">
      <c r="A8" s="1"/>
      <c r="B8" s="1" t="s">
        <v>11</v>
      </c>
      <c r="C8" s="27">
        <f>직접비!E8</f>
        <v>71534</v>
      </c>
      <c r="D8" s="120">
        <f>직접비!H8</f>
        <v>54780</v>
      </c>
      <c r="E8" s="123">
        <f>직접비!K8</f>
        <v>113320</v>
      </c>
      <c r="F8" s="61">
        <f>직접비!N8</f>
        <v>151562</v>
      </c>
      <c r="G8" s="27">
        <f>직접비!Q8</f>
        <v>55880</v>
      </c>
      <c r="H8" s="57"/>
      <c r="I8" s="33">
        <f t="shared" ref="I8:I11" si="4">SUM(C8:H8)</f>
        <v>447076</v>
      </c>
      <c r="J8" s="28">
        <f>I8/$I$13</f>
        <v>0.30642631939684717</v>
      </c>
      <c r="L8" s="13">
        <f t="shared" si="3"/>
        <v>0.36684102564102566</v>
      </c>
      <c r="M8" s="13">
        <f t="shared" si="2"/>
        <v>0.17335443037974685</v>
      </c>
      <c r="N8" s="13">
        <f t="shared" si="2"/>
        <v>0.35860759493670885</v>
      </c>
      <c r="O8" s="13">
        <f t="shared" si="2"/>
        <v>0.47962658227848104</v>
      </c>
      <c r="P8" s="13">
        <f t="shared" si="2"/>
        <v>0.17683544303797469</v>
      </c>
    </row>
    <row r="9" spans="1:16" ht="22.5" customHeight="1" x14ac:dyDescent="0.15">
      <c r="A9" s="2"/>
      <c r="B9" s="1" t="s">
        <v>1</v>
      </c>
      <c r="C9" s="27">
        <f>직접비!E42</f>
        <v>18700</v>
      </c>
      <c r="D9" s="120">
        <f>직접비!H42</f>
        <v>43500</v>
      </c>
      <c r="E9" s="27">
        <f>직접비!K42</f>
        <v>28900</v>
      </c>
      <c r="F9" s="61">
        <f>직접비!N42</f>
        <v>23900</v>
      </c>
      <c r="G9" s="27">
        <f>직접비!Q42</f>
        <v>48900</v>
      </c>
      <c r="H9" s="57"/>
      <c r="I9" s="33">
        <f t="shared" si="4"/>
        <v>163900</v>
      </c>
      <c r="J9" s="28">
        <f>I9/$I$13</f>
        <v>0.11233721727210418</v>
      </c>
      <c r="L9" s="13">
        <f t="shared" si="3"/>
        <v>9.5897435897435893E-2</v>
      </c>
      <c r="M9" s="13">
        <f t="shared" si="2"/>
        <v>0.13765822784810128</v>
      </c>
      <c r="N9" s="13">
        <f t="shared" si="2"/>
        <v>9.1455696202531647E-2</v>
      </c>
      <c r="O9" s="13">
        <f t="shared" si="2"/>
        <v>7.5632911392405064E-2</v>
      </c>
      <c r="P9" s="13">
        <f t="shared" si="2"/>
        <v>0.15474683544303797</v>
      </c>
    </row>
    <row r="10" spans="1:16" ht="22.5" customHeight="1" x14ac:dyDescent="0.15">
      <c r="A10" s="2"/>
      <c r="B10" s="1" t="s">
        <v>33</v>
      </c>
      <c r="C10" s="27">
        <f>직접비!E54</f>
        <v>14500</v>
      </c>
      <c r="D10" s="120">
        <f>직접비!H54</f>
        <v>31000</v>
      </c>
      <c r="E10" s="27">
        <f>직접비!K54</f>
        <v>24500</v>
      </c>
      <c r="F10" s="61">
        <f>직접비!N54</f>
        <v>24500</v>
      </c>
      <c r="G10" s="27">
        <f>직접비!Q54</f>
        <v>24500</v>
      </c>
      <c r="H10" s="57"/>
      <c r="I10" s="33">
        <f t="shared" si="4"/>
        <v>119000</v>
      </c>
      <c r="J10" s="28">
        <f>I10/$I$13</f>
        <v>8.1562714187799867E-2</v>
      </c>
      <c r="L10" s="13">
        <f t="shared" si="3"/>
        <v>7.4358974358974358E-2</v>
      </c>
      <c r="M10" s="13">
        <f t="shared" si="2"/>
        <v>9.8101265822784806E-2</v>
      </c>
      <c r="N10" s="13">
        <f t="shared" si="2"/>
        <v>7.753164556962025E-2</v>
      </c>
      <c r="O10" s="13">
        <f t="shared" si="2"/>
        <v>7.753164556962025E-2</v>
      </c>
      <c r="P10" s="13">
        <f t="shared" si="2"/>
        <v>7.753164556962025E-2</v>
      </c>
    </row>
    <row r="11" spans="1:16" ht="22.5" customHeight="1" x14ac:dyDescent="0.15">
      <c r="A11" s="2"/>
      <c r="B11" s="1" t="s">
        <v>12</v>
      </c>
      <c r="C11" s="27">
        <f>ROUNDDOWN((C6+C7)*0.2,0)</f>
        <v>11280</v>
      </c>
      <c r="D11" s="61">
        <f>ROUNDDOWN((D6+D7)*0.2,0)</f>
        <v>25020</v>
      </c>
      <c r="E11" s="27">
        <f>ROUNDDOWN((E6+E7)*0.2,0)</f>
        <v>18780</v>
      </c>
      <c r="F11" s="61">
        <f>ROUNDDOWN((F6+F7)*0.2,0)</f>
        <v>13239</v>
      </c>
      <c r="G11" s="27">
        <f t="shared" ref="G11" si="5">ROUNDDOWN((G6+G7)*0.2,0)</f>
        <v>25020</v>
      </c>
      <c r="H11" s="61"/>
      <c r="I11" s="33">
        <f t="shared" si="4"/>
        <v>93339</v>
      </c>
      <c r="J11" s="28">
        <f>I11/$I$13</f>
        <v>6.3974640164496235E-2</v>
      </c>
      <c r="L11" s="13">
        <f t="shared" si="3"/>
        <v>5.7846153846153846E-2</v>
      </c>
      <c r="M11" s="13">
        <f t="shared" si="2"/>
        <v>7.9177215189873418E-2</v>
      </c>
      <c r="N11" s="13">
        <f t="shared" si="2"/>
        <v>5.9430379746835446E-2</v>
      </c>
      <c r="O11" s="13">
        <f t="shared" si="2"/>
        <v>4.1895569620253162E-2</v>
      </c>
      <c r="P11" s="13">
        <f t="shared" si="2"/>
        <v>7.9177215189873418E-2</v>
      </c>
    </row>
    <row r="12" spans="1:16" ht="22.5" customHeight="1" thickBot="1" x14ac:dyDescent="0.2">
      <c r="A12" s="376" t="s">
        <v>32</v>
      </c>
      <c r="B12" s="376"/>
      <c r="C12" s="37">
        <f>C18</f>
        <v>22586</v>
      </c>
      <c r="D12" s="58">
        <f t="shared" ref="D12" si="6">D18</f>
        <v>36600</v>
      </c>
      <c r="E12" s="37">
        <f>E18</f>
        <v>36600</v>
      </c>
      <c r="F12" s="89">
        <f t="shared" ref="F12:G12" si="7">F18</f>
        <v>36600</v>
      </c>
      <c r="G12" s="37">
        <f t="shared" si="7"/>
        <v>36600</v>
      </c>
      <c r="H12" s="58"/>
      <c r="I12" s="38">
        <f>SUM(C12:H12)</f>
        <v>168986</v>
      </c>
      <c r="J12" s="39">
        <f>I12/$I$13</f>
        <v>0.11582316655243317</v>
      </c>
      <c r="L12" s="13">
        <f t="shared" si="3"/>
        <v>0.11582564102564102</v>
      </c>
      <c r="M12" s="13">
        <f t="shared" si="2"/>
        <v>0.11582278481012659</v>
      </c>
      <c r="N12" s="13">
        <f t="shared" si="2"/>
        <v>0.11582278481012659</v>
      </c>
      <c r="O12" s="13">
        <f t="shared" si="2"/>
        <v>0.11582278481012659</v>
      </c>
      <c r="P12" s="13">
        <f t="shared" si="2"/>
        <v>0.11582278481012659</v>
      </c>
    </row>
    <row r="13" spans="1:16" ht="20.25" customHeight="1" thickTop="1" x14ac:dyDescent="0.15">
      <c r="A13" s="34"/>
      <c r="B13" s="35" t="s">
        <v>24</v>
      </c>
      <c r="C13" s="36">
        <f>C5+C12</f>
        <v>195000</v>
      </c>
      <c r="D13" s="59">
        <f>D5+D12</f>
        <v>316000</v>
      </c>
      <c r="E13" s="36">
        <f t="shared" ref="E13:G13" si="8">E5+E12</f>
        <v>316000</v>
      </c>
      <c r="F13" s="59">
        <f t="shared" si="8"/>
        <v>316000</v>
      </c>
      <c r="G13" s="36">
        <f t="shared" si="8"/>
        <v>316000</v>
      </c>
      <c r="H13" s="59">
        <f t="shared" ref="H13" si="9">H5+H12</f>
        <v>0</v>
      </c>
      <c r="I13" s="338">
        <f>SUM(C13:G13)</f>
        <v>1459000</v>
      </c>
      <c r="J13" s="339">
        <f>I13/$I$13*100</f>
        <v>100</v>
      </c>
      <c r="L13" s="13">
        <f t="shared" si="3"/>
        <v>1</v>
      </c>
      <c r="M13" s="13">
        <f t="shared" si="2"/>
        <v>1</v>
      </c>
      <c r="N13" s="13">
        <f t="shared" si="2"/>
        <v>1</v>
      </c>
      <c r="O13" s="13">
        <f t="shared" si="2"/>
        <v>1</v>
      </c>
      <c r="P13" s="13">
        <f t="shared" si="2"/>
        <v>1</v>
      </c>
    </row>
    <row r="14" spans="1:16" s="11" customFormat="1" x14ac:dyDescent="0.15">
      <c r="B14" s="12"/>
      <c r="C14" s="51">
        <f>C8+C9+C10</f>
        <v>104734</v>
      </c>
      <c r="D14" s="51">
        <f t="shared" ref="D14:G14" si="10">D8+D9+D10</f>
        <v>129280</v>
      </c>
      <c r="E14" s="51">
        <f>E8+E9+E10</f>
        <v>166720</v>
      </c>
      <c r="F14" s="51">
        <f t="shared" si="10"/>
        <v>199962</v>
      </c>
      <c r="G14" s="51">
        <f t="shared" si="10"/>
        <v>129280</v>
      </c>
      <c r="H14" s="51">
        <f t="shared" ref="H14" si="11">H8+H9+H10</f>
        <v>0</v>
      </c>
      <c r="I14" s="3"/>
      <c r="J14" s="107"/>
      <c r="K14" s="108"/>
      <c r="L14" s="108"/>
      <c r="M14" s="109"/>
      <c r="O14" s="108"/>
      <c r="P14" s="108"/>
    </row>
    <row r="15" spans="1:16" x14ac:dyDescent="0.15">
      <c r="B15" s="14" t="s">
        <v>29</v>
      </c>
      <c r="C15" s="16">
        <f t="shared" ref="C15:H15" si="12">C3-C13</f>
        <v>0</v>
      </c>
      <c r="D15" s="288">
        <f>D3-D13</f>
        <v>0</v>
      </c>
      <c r="E15" s="16">
        <f t="shared" si="12"/>
        <v>0</v>
      </c>
      <c r="F15" s="16">
        <f>F3-F13</f>
        <v>0</v>
      </c>
      <c r="G15" s="16">
        <f t="shared" si="12"/>
        <v>0</v>
      </c>
      <c r="H15" s="16">
        <f t="shared" si="12"/>
        <v>0</v>
      </c>
      <c r="I15" s="91"/>
      <c r="J15" s="12"/>
      <c r="K15" s="12"/>
      <c r="L15" s="110"/>
      <c r="M15" s="110"/>
      <c r="O15" s="111"/>
      <c r="P15" s="111"/>
    </row>
    <row r="16" spans="1:16" x14ac:dyDescent="0.15">
      <c r="C16" s="15"/>
      <c r="D16" s="15"/>
      <c r="I16" s="51"/>
      <c r="O16" s="111"/>
      <c r="P16" s="111"/>
    </row>
    <row r="17" spans="1:16" x14ac:dyDescent="0.15">
      <c r="B17" s="92" t="s">
        <v>48</v>
      </c>
      <c r="C17" s="93">
        <f>ROUNDUP(C3/(1+$B$19),0)</f>
        <v>172414</v>
      </c>
      <c r="D17" s="93">
        <f>ROUNDUP(D3/(1+$B$19),0)</f>
        <v>279399</v>
      </c>
      <c r="E17" s="93">
        <f t="shared" ref="E17" si="13">ROUNDUP(E3/(1+$B$19),0)</f>
        <v>279399</v>
      </c>
      <c r="F17" s="93">
        <f>ROUNDUP(F3/(1+$B$20),0)</f>
        <v>279399</v>
      </c>
      <c r="G17" s="93">
        <f>ROUNDUP(G3/(1+$B$20),0)</f>
        <v>279399</v>
      </c>
      <c r="H17" s="48">
        <f t="shared" ref="H17" si="14">ROUNDUP(H3/(1.1433),0)</f>
        <v>0</v>
      </c>
      <c r="I17" s="71"/>
      <c r="J17" s="111"/>
      <c r="L17" s="111"/>
      <c r="M17" s="111"/>
      <c r="O17" s="71"/>
      <c r="P17" s="71"/>
    </row>
    <row r="18" spans="1:16" x14ac:dyDescent="0.15">
      <c r="B18" s="2" t="s">
        <v>49</v>
      </c>
      <c r="C18" s="93">
        <f>ROUNDDOWN(C17*$B$19,0)</f>
        <v>22586</v>
      </c>
      <c r="D18" s="93">
        <f>ROUNDDOWN(D17*$B$19-1,0)</f>
        <v>36600</v>
      </c>
      <c r="E18" s="93">
        <f>ROUNDDOWN(E17*$B$19-1,0)</f>
        <v>36600</v>
      </c>
      <c r="F18" s="93">
        <f>ROUNDDOWN(F17*$B$20-1,0)</f>
        <v>36600</v>
      </c>
      <c r="G18" s="93">
        <f>ROUNDDOWN(G17*$B$20-1,0)</f>
        <v>36600</v>
      </c>
      <c r="H18" s="48">
        <f t="shared" ref="H18" si="15">ROUNDDOWN(H17*0.1433,0)</f>
        <v>0</v>
      </c>
      <c r="I18" s="71">
        <f>SUM(C18:G18)</f>
        <v>168986</v>
      </c>
      <c r="J18" s="71"/>
      <c r="L18" s="111"/>
      <c r="M18" s="111"/>
      <c r="P18" s="125"/>
    </row>
    <row r="19" spans="1:16" x14ac:dyDescent="0.15">
      <c r="B19" s="94">
        <v>0.13100000000000001</v>
      </c>
      <c r="C19" s="98">
        <f>SUM(C17:C18)</f>
        <v>195000</v>
      </c>
      <c r="D19" s="122">
        <f>SUM(D17:D18)</f>
        <v>315999</v>
      </c>
      <c r="E19" s="95">
        <f>SUM(E17:E18)</f>
        <v>315999</v>
      </c>
      <c r="F19" s="95">
        <f t="shared" ref="F19" si="16">SUM(F17:F18)</f>
        <v>315999</v>
      </c>
      <c r="G19" s="95">
        <f t="shared" ref="G19" si="17">SUM(G17:G18)</f>
        <v>315999</v>
      </c>
      <c r="H19" s="44">
        <f t="shared" ref="H19" si="18">SUM(H17:H18)</f>
        <v>0</v>
      </c>
      <c r="I19" s="106"/>
      <c r="L19" s="71"/>
      <c r="M19" s="71"/>
    </row>
    <row r="20" spans="1:16" ht="16.5" x14ac:dyDescent="0.15">
      <c r="B20" s="292">
        <v>0.13100000000000001</v>
      </c>
      <c r="M20" s="125"/>
      <c r="N20" s="125"/>
      <c r="O20" s="125"/>
      <c r="P20" s="125"/>
    </row>
    <row r="21" spans="1:16" x14ac:dyDescent="0.15">
      <c r="B21" s="3" t="s">
        <v>64</v>
      </c>
      <c r="C21" s="49">
        <f t="shared" ref="C21:H21" si="19">C12/C5</f>
        <v>0.13099864280162865</v>
      </c>
      <c r="D21" s="49">
        <f t="shared" si="19"/>
        <v>0.13099498926270581</v>
      </c>
      <c r="E21" s="49">
        <f t="shared" si="19"/>
        <v>0.13099498926270581</v>
      </c>
      <c r="F21" s="49">
        <f t="shared" si="19"/>
        <v>0.13099498926270581</v>
      </c>
      <c r="G21" s="49">
        <f t="shared" si="19"/>
        <v>0.13099498926270581</v>
      </c>
      <c r="H21" s="49" t="e">
        <f t="shared" si="19"/>
        <v>#DIV/0!</v>
      </c>
      <c r="M21" s="125"/>
      <c r="N21" s="125"/>
      <c r="O21" s="125"/>
      <c r="P21" s="125"/>
    </row>
    <row r="22" spans="1:16" x14ac:dyDescent="0.15">
      <c r="B22" s="3" t="s">
        <v>65</v>
      </c>
      <c r="C22" s="3">
        <f t="shared" ref="C22:H22" si="20">C11/(C6+C7)</f>
        <v>0.2</v>
      </c>
      <c r="D22" s="3">
        <f t="shared" si="20"/>
        <v>0.2</v>
      </c>
      <c r="E22" s="3">
        <f t="shared" si="20"/>
        <v>0.2</v>
      </c>
      <c r="F22" s="64">
        <f t="shared" si="20"/>
        <v>0.19998791522530551</v>
      </c>
      <c r="G22" s="96">
        <f t="shared" si="20"/>
        <v>0.2</v>
      </c>
      <c r="H22" s="3" t="e">
        <f t="shared" si="20"/>
        <v>#DIV/0!</v>
      </c>
    </row>
    <row r="23" spans="1:16" ht="16.5" x14ac:dyDescent="0.15">
      <c r="M23" s="126"/>
    </row>
    <row r="24" spans="1:16" ht="17.25" x14ac:dyDescent="0.15">
      <c r="A24" s="3">
        <v>1</v>
      </c>
      <c r="B24" s="360" t="s">
        <v>71</v>
      </c>
      <c r="C24" s="365" t="s">
        <v>72</v>
      </c>
      <c r="D24" s="374"/>
      <c r="E24" s="366"/>
      <c r="F24" s="362" t="s">
        <v>73</v>
      </c>
      <c r="G24" s="372"/>
      <c r="H24" s="352"/>
      <c r="I24" s="352" t="s">
        <v>117</v>
      </c>
      <c r="J24" s="352"/>
      <c r="K24" s="360" t="s">
        <v>74</v>
      </c>
      <c r="M24" s="112"/>
      <c r="O24" s="127"/>
      <c r="P24" s="127"/>
    </row>
    <row r="25" spans="1:16" ht="17.25" x14ac:dyDescent="0.15">
      <c r="A25" s="3">
        <v>2</v>
      </c>
      <c r="B25" s="361"/>
      <c r="C25" s="367"/>
      <c r="D25" s="375"/>
      <c r="E25" s="368"/>
      <c r="F25" s="77" t="s">
        <v>75</v>
      </c>
      <c r="G25" s="77" t="s">
        <v>76</v>
      </c>
      <c r="H25" s="351" t="s">
        <v>77</v>
      </c>
      <c r="I25" s="87" t="s">
        <v>19</v>
      </c>
      <c r="J25" s="87" t="s">
        <v>18</v>
      </c>
      <c r="K25" s="368"/>
      <c r="M25" s="113"/>
      <c r="O25" s="127"/>
      <c r="P25" s="357"/>
    </row>
    <row r="26" spans="1:16" ht="17.25" x14ac:dyDescent="0.15">
      <c r="A26" s="3">
        <v>3</v>
      </c>
      <c r="B26" s="360" t="s">
        <v>113</v>
      </c>
      <c r="C26" s="360" t="s">
        <v>112</v>
      </c>
      <c r="D26" s="360" t="s">
        <v>78</v>
      </c>
      <c r="E26" s="77" t="s">
        <v>79</v>
      </c>
      <c r="F26" s="78">
        <f>C6</f>
        <v>56400</v>
      </c>
      <c r="G26" s="78">
        <f>D6</f>
        <v>125100</v>
      </c>
      <c r="H26" s="78">
        <f>E6</f>
        <v>93900</v>
      </c>
      <c r="I26" s="86">
        <f>F6</f>
        <v>66199</v>
      </c>
      <c r="J26" s="86">
        <f>G6</f>
        <v>125100</v>
      </c>
      <c r="K26" s="79">
        <f>SUM(F26:J26)</f>
        <v>466699</v>
      </c>
      <c r="M26" s="113"/>
      <c r="O26" s="128"/>
      <c r="P26" s="357"/>
    </row>
    <row r="27" spans="1:16" ht="17.25" x14ac:dyDescent="0.15">
      <c r="A27" s="3">
        <v>4</v>
      </c>
      <c r="B27" s="364"/>
      <c r="C27" s="364"/>
      <c r="D27" s="361"/>
      <c r="E27" s="77" t="s">
        <v>80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79">
        <f t="shared" ref="K27:K48" si="21">SUM(F27:J27)</f>
        <v>0</v>
      </c>
      <c r="M27" s="113"/>
      <c r="O27" s="128"/>
      <c r="P27" s="127"/>
    </row>
    <row r="28" spans="1:16" ht="17.25" x14ac:dyDescent="0.15">
      <c r="A28" s="3">
        <v>5</v>
      </c>
      <c r="B28" s="364"/>
      <c r="C28" s="364"/>
      <c r="D28" s="291" t="s">
        <v>81</v>
      </c>
      <c r="E28" s="77" t="s">
        <v>82</v>
      </c>
      <c r="F28" s="80"/>
      <c r="G28" s="80"/>
      <c r="H28" s="80"/>
      <c r="I28" s="80"/>
      <c r="J28" s="80"/>
      <c r="K28" s="79">
        <f>SUM(F28:J28)</f>
        <v>0</v>
      </c>
      <c r="M28" s="113"/>
      <c r="O28" s="127"/>
      <c r="P28" s="127"/>
    </row>
    <row r="29" spans="1:16" x14ac:dyDescent="0.15">
      <c r="A29" s="3">
        <v>7</v>
      </c>
      <c r="B29" s="364"/>
      <c r="C29" s="364"/>
      <c r="D29" s="362" t="s">
        <v>83</v>
      </c>
      <c r="E29" s="363"/>
      <c r="F29" s="80"/>
      <c r="G29" s="80"/>
      <c r="H29" s="80"/>
      <c r="I29" s="80"/>
      <c r="J29" s="80"/>
      <c r="K29" s="79">
        <f t="shared" si="21"/>
        <v>0</v>
      </c>
      <c r="O29" s="128"/>
      <c r="P29" s="127"/>
    </row>
    <row r="30" spans="1:16" x14ac:dyDescent="0.15">
      <c r="A30" s="3">
        <v>8</v>
      </c>
      <c r="B30" s="364"/>
      <c r="C30" s="361"/>
      <c r="D30" s="362" t="s">
        <v>84</v>
      </c>
      <c r="E30" s="363"/>
      <c r="F30" s="78">
        <f>F26</f>
        <v>56400</v>
      </c>
      <c r="G30" s="78">
        <f>G26</f>
        <v>125100</v>
      </c>
      <c r="H30" s="78">
        <f>H26</f>
        <v>93900</v>
      </c>
      <c r="I30" s="78">
        <f>I26</f>
        <v>66199</v>
      </c>
      <c r="J30" s="78">
        <f>J26</f>
        <v>125100</v>
      </c>
      <c r="K30" s="79">
        <f t="shared" si="21"/>
        <v>466699</v>
      </c>
      <c r="O30" s="128"/>
      <c r="P30" s="127"/>
    </row>
    <row r="31" spans="1:16" x14ac:dyDescent="0.15">
      <c r="A31" s="3">
        <v>9</v>
      </c>
      <c r="B31" s="364"/>
      <c r="C31" s="365" t="s">
        <v>85</v>
      </c>
      <c r="D31" s="366"/>
      <c r="E31" s="77" t="s">
        <v>86</v>
      </c>
      <c r="F31" s="80">
        <v>0</v>
      </c>
      <c r="G31" s="80">
        <v>0</v>
      </c>
      <c r="H31" s="80">
        <v>0</v>
      </c>
      <c r="I31" s="80">
        <v>0</v>
      </c>
      <c r="J31" s="80">
        <v>0</v>
      </c>
      <c r="K31" s="79">
        <f t="shared" si="21"/>
        <v>0</v>
      </c>
      <c r="M31"/>
      <c r="N31"/>
      <c r="O31"/>
      <c r="P31"/>
    </row>
    <row r="32" spans="1:16" x14ac:dyDescent="0.15">
      <c r="A32" s="3">
        <v>10</v>
      </c>
      <c r="B32" s="364"/>
      <c r="C32" s="367"/>
      <c r="D32" s="368"/>
      <c r="E32" s="77" t="s">
        <v>87</v>
      </c>
      <c r="F32" s="80">
        <v>0</v>
      </c>
      <c r="G32" s="80">
        <v>0</v>
      </c>
      <c r="H32" s="80">
        <v>0</v>
      </c>
      <c r="I32" s="80">
        <v>0</v>
      </c>
      <c r="J32" s="80">
        <v>0</v>
      </c>
      <c r="K32" s="79">
        <f t="shared" si="21"/>
        <v>0</v>
      </c>
      <c r="M32" s="117"/>
      <c r="N32" s="117"/>
      <c r="O32" s="114"/>
      <c r="P32" s="114"/>
    </row>
    <row r="33" spans="1:16" x14ac:dyDescent="0.15">
      <c r="A33" s="3">
        <v>11</v>
      </c>
      <c r="B33" s="364"/>
      <c r="C33" s="369" t="s">
        <v>88</v>
      </c>
      <c r="D33" s="370"/>
      <c r="E33" s="371"/>
      <c r="F33" s="79">
        <f>F26+F28+F29+F31</f>
        <v>56400</v>
      </c>
      <c r="G33" s="79">
        <f>G26+G28+G29+G31</f>
        <v>125100</v>
      </c>
      <c r="H33" s="79">
        <f>H26+H28+H29+H31</f>
        <v>93900</v>
      </c>
      <c r="I33" s="79">
        <f>I26+I28+I29+I31</f>
        <v>66199</v>
      </c>
      <c r="J33" s="79">
        <f>J26+J28+J29+J31</f>
        <v>125100</v>
      </c>
      <c r="K33" s="79">
        <f t="shared" si="21"/>
        <v>466699</v>
      </c>
      <c r="O33" s="111"/>
      <c r="P33" s="111"/>
    </row>
    <row r="34" spans="1:16" x14ac:dyDescent="0.15">
      <c r="A34" s="3">
        <v>12</v>
      </c>
      <c r="B34" s="364"/>
      <c r="C34" s="369" t="s">
        <v>89</v>
      </c>
      <c r="D34" s="370"/>
      <c r="E34" s="371"/>
      <c r="F34" s="79">
        <f>F26+F28+F31</f>
        <v>56400</v>
      </c>
      <c r="G34" s="79">
        <f>G26+G28+G31</f>
        <v>125100</v>
      </c>
      <c r="H34" s="79">
        <f>H26+H28+H31</f>
        <v>93900</v>
      </c>
      <c r="I34" s="79">
        <f>I26+I28+I31</f>
        <v>66199</v>
      </c>
      <c r="J34" s="79">
        <f>J26+J28+J31</f>
        <v>125100</v>
      </c>
      <c r="K34" s="79">
        <f t="shared" si="21"/>
        <v>466699</v>
      </c>
      <c r="O34" s="129"/>
      <c r="P34" s="111"/>
    </row>
    <row r="35" spans="1:16" ht="27" customHeight="1" x14ac:dyDescent="0.15">
      <c r="A35" s="3">
        <v>13</v>
      </c>
      <c r="B35" s="364"/>
      <c r="C35" s="365" t="s">
        <v>109</v>
      </c>
      <c r="D35" s="366"/>
      <c r="E35" s="77" t="s">
        <v>90</v>
      </c>
      <c r="F35" s="80">
        <v>0</v>
      </c>
      <c r="G35" s="80">
        <v>0</v>
      </c>
      <c r="H35" s="80">
        <v>0</v>
      </c>
      <c r="I35" s="80">
        <v>0</v>
      </c>
      <c r="J35" s="80">
        <v>0</v>
      </c>
      <c r="K35" s="79">
        <f t="shared" si="21"/>
        <v>0</v>
      </c>
      <c r="O35" s="130"/>
      <c r="P35" s="130"/>
    </row>
    <row r="36" spans="1:16" x14ac:dyDescent="0.15">
      <c r="A36" s="3">
        <v>14</v>
      </c>
      <c r="B36" s="364"/>
      <c r="C36" s="367"/>
      <c r="D36" s="368"/>
      <c r="E36" s="77" t="s">
        <v>80</v>
      </c>
      <c r="F36" s="80">
        <v>0</v>
      </c>
      <c r="G36" s="80">
        <v>0</v>
      </c>
      <c r="H36" s="80">
        <v>0</v>
      </c>
      <c r="I36" s="80">
        <v>0</v>
      </c>
      <c r="J36" s="80">
        <v>0</v>
      </c>
      <c r="K36" s="79">
        <f t="shared" si="21"/>
        <v>0</v>
      </c>
    </row>
    <row r="37" spans="1:16" x14ac:dyDescent="0.15">
      <c r="A37" s="3">
        <v>15</v>
      </c>
      <c r="B37" s="364"/>
      <c r="C37" s="369" t="s">
        <v>91</v>
      </c>
      <c r="D37" s="370"/>
      <c r="E37" s="371"/>
      <c r="F37" s="80">
        <v>0</v>
      </c>
      <c r="G37" s="80">
        <v>0</v>
      </c>
      <c r="H37" s="80">
        <v>0</v>
      </c>
      <c r="I37" s="80">
        <v>0</v>
      </c>
      <c r="J37" s="80">
        <v>0</v>
      </c>
      <c r="K37" s="79">
        <f t="shared" si="21"/>
        <v>0</v>
      </c>
    </row>
    <row r="38" spans="1:16" x14ac:dyDescent="0.15">
      <c r="A38" s="3">
        <v>16</v>
      </c>
      <c r="B38" s="364"/>
      <c r="C38" s="365" t="s">
        <v>110</v>
      </c>
      <c r="D38" s="366"/>
      <c r="E38" s="77" t="s">
        <v>92</v>
      </c>
      <c r="F38" s="78">
        <f>C8</f>
        <v>71534</v>
      </c>
      <c r="G38" s="78">
        <f>D8</f>
        <v>54780</v>
      </c>
      <c r="H38" s="105">
        <f>E8</f>
        <v>113320</v>
      </c>
      <c r="I38" s="105">
        <f>F8</f>
        <v>151562</v>
      </c>
      <c r="J38" s="105">
        <f>G8</f>
        <v>55880</v>
      </c>
      <c r="K38" s="79">
        <f t="shared" si="21"/>
        <v>447076</v>
      </c>
      <c r="M38" s="52"/>
      <c r="N38" s="52"/>
      <c r="O38" s="114"/>
      <c r="P38" s="114"/>
    </row>
    <row r="39" spans="1:16" x14ac:dyDescent="0.15">
      <c r="A39" s="3">
        <v>17</v>
      </c>
      <c r="B39" s="364"/>
      <c r="C39" s="367"/>
      <c r="D39" s="368"/>
      <c r="E39" s="77" t="s">
        <v>80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79">
        <f t="shared" si="21"/>
        <v>0</v>
      </c>
      <c r="N39" s="52"/>
      <c r="O39" s="111"/>
      <c r="P39" s="111"/>
    </row>
    <row r="40" spans="1:16" x14ac:dyDescent="0.15">
      <c r="A40" s="3">
        <v>18</v>
      </c>
      <c r="B40" s="364"/>
      <c r="C40" s="365" t="s">
        <v>111</v>
      </c>
      <c r="D40" s="366"/>
      <c r="E40" s="77" t="s">
        <v>93</v>
      </c>
      <c r="F40" s="78">
        <f>C9+C10</f>
        <v>33200</v>
      </c>
      <c r="G40" s="78">
        <f>D9+D10</f>
        <v>74500</v>
      </c>
      <c r="H40" s="105">
        <f>E9+E10</f>
        <v>53400</v>
      </c>
      <c r="I40" s="105">
        <f>F9+F10</f>
        <v>48400</v>
      </c>
      <c r="J40" s="105">
        <f>G9+G10</f>
        <v>73400</v>
      </c>
      <c r="K40" s="79">
        <f t="shared" si="21"/>
        <v>282900</v>
      </c>
      <c r="N40" s="52"/>
      <c r="O40" s="111"/>
      <c r="P40" s="111"/>
    </row>
    <row r="41" spans="1:16" x14ac:dyDescent="0.15">
      <c r="A41" s="3">
        <v>19</v>
      </c>
      <c r="B41" s="364"/>
      <c r="C41" s="367"/>
      <c r="D41" s="368"/>
      <c r="E41" s="77" t="s">
        <v>80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79">
        <f t="shared" si="21"/>
        <v>0</v>
      </c>
      <c r="N41" s="52"/>
      <c r="O41" s="71"/>
      <c r="P41" s="71"/>
    </row>
    <row r="42" spans="1:16" x14ac:dyDescent="0.15">
      <c r="A42" s="3">
        <v>20</v>
      </c>
      <c r="B42" s="364"/>
      <c r="C42" s="362" t="s">
        <v>94</v>
      </c>
      <c r="D42" s="372"/>
      <c r="E42" s="363"/>
      <c r="F42" s="81">
        <f>C11</f>
        <v>11280</v>
      </c>
      <c r="G42" s="81">
        <f>D11</f>
        <v>25020</v>
      </c>
      <c r="H42" s="81">
        <f>E11</f>
        <v>18780</v>
      </c>
      <c r="I42" s="81">
        <f>F11</f>
        <v>13239</v>
      </c>
      <c r="J42" s="81">
        <f>G11</f>
        <v>25020</v>
      </c>
      <c r="K42" s="79">
        <f t="shared" si="21"/>
        <v>93339</v>
      </c>
      <c r="N42" s="52"/>
      <c r="O42" s="115"/>
      <c r="P42" s="115"/>
    </row>
    <row r="43" spans="1:16" x14ac:dyDescent="0.15">
      <c r="A43" s="3">
        <v>21</v>
      </c>
      <c r="B43" s="364"/>
      <c r="C43" s="369" t="s">
        <v>95</v>
      </c>
      <c r="D43" s="370"/>
      <c r="E43" s="371"/>
      <c r="F43" s="82">
        <f>F42/F34</f>
        <v>0.2</v>
      </c>
      <c r="G43" s="82">
        <f t="shared" ref="G43:I43" si="22">G42/G34</f>
        <v>0.2</v>
      </c>
      <c r="H43" s="82">
        <f t="shared" si="22"/>
        <v>0.2</v>
      </c>
      <c r="I43" s="82">
        <f t="shared" si="22"/>
        <v>0.19998791522530551</v>
      </c>
      <c r="J43" s="82">
        <f t="shared" ref="J43:K43" si="23">J42/J34</f>
        <v>0.2</v>
      </c>
      <c r="K43" s="356">
        <f t="shared" si="23"/>
        <v>0.19999828583305299</v>
      </c>
      <c r="N43" s="52"/>
      <c r="O43" s="115"/>
      <c r="P43" s="115"/>
    </row>
    <row r="44" spans="1:16" ht="27" customHeight="1" x14ac:dyDescent="0.15">
      <c r="A44" s="3">
        <v>22</v>
      </c>
      <c r="B44" s="361"/>
      <c r="C44" s="362" t="s">
        <v>100</v>
      </c>
      <c r="D44" s="372"/>
      <c r="E44" s="363"/>
      <c r="F44" s="83">
        <f>F33+F35+F38+F40+F42</f>
        <v>172414</v>
      </c>
      <c r="G44" s="83">
        <f t="shared" ref="G44:I44" si="24">G33+G35+G38+G40+G42</f>
        <v>279400</v>
      </c>
      <c r="H44" s="83">
        <f t="shared" si="24"/>
        <v>279400</v>
      </c>
      <c r="I44" s="83">
        <f t="shared" si="24"/>
        <v>279400</v>
      </c>
      <c r="J44" s="83">
        <f t="shared" ref="J44" si="25">J33+J35+J38+J40+J42</f>
        <v>279400</v>
      </c>
      <c r="K44" s="79">
        <f t="shared" si="21"/>
        <v>1290014</v>
      </c>
      <c r="N44" s="52"/>
      <c r="O44" s="115"/>
      <c r="P44" s="115"/>
    </row>
    <row r="45" spans="1:16" x14ac:dyDescent="0.15">
      <c r="A45" s="3">
        <v>23</v>
      </c>
      <c r="B45" s="362" t="s">
        <v>96</v>
      </c>
      <c r="C45" s="372"/>
      <c r="D45" s="372"/>
      <c r="E45" s="363"/>
      <c r="F45" s="81">
        <f>C12</f>
        <v>22586</v>
      </c>
      <c r="G45" s="81">
        <f>D12</f>
        <v>36600</v>
      </c>
      <c r="H45" s="81">
        <f>E12</f>
        <v>36600</v>
      </c>
      <c r="I45" s="81">
        <f>F12</f>
        <v>36600</v>
      </c>
      <c r="J45" s="81">
        <f>G12</f>
        <v>36600</v>
      </c>
      <c r="K45" s="79">
        <f t="shared" si="21"/>
        <v>168986</v>
      </c>
      <c r="M45" s="118">
        <f>J44*0.131</f>
        <v>36601.4</v>
      </c>
      <c r="N45" s="52"/>
      <c r="O45" s="115"/>
      <c r="P45" s="115"/>
    </row>
    <row r="46" spans="1:16" ht="16.5" x14ac:dyDescent="0.15">
      <c r="A46" s="3">
        <v>24</v>
      </c>
      <c r="B46" s="369" t="s">
        <v>97</v>
      </c>
      <c r="C46" s="370"/>
      <c r="D46" s="370"/>
      <c r="E46" s="371"/>
      <c r="F46" s="99">
        <f t="shared" ref="F46:K46" si="26">F45/(F26+F28+F29+F31+F35+F38+F40+F42)</f>
        <v>0.13099864280162865</v>
      </c>
      <c r="G46" s="100">
        <f t="shared" si="26"/>
        <v>0.13099498926270581</v>
      </c>
      <c r="H46" s="100">
        <f t="shared" si="26"/>
        <v>0.13099498926270581</v>
      </c>
      <c r="I46" s="293">
        <f t="shared" si="26"/>
        <v>0.13099498926270581</v>
      </c>
      <c r="J46" s="293">
        <f t="shared" si="26"/>
        <v>0.13099498926270581</v>
      </c>
      <c r="K46" s="293">
        <f t="shared" si="26"/>
        <v>0.1309954775684605</v>
      </c>
      <c r="N46" s="52"/>
      <c r="O46" s="115"/>
      <c r="P46" s="115"/>
    </row>
    <row r="47" spans="1:16" x14ac:dyDescent="0.15">
      <c r="A47" s="3">
        <v>25</v>
      </c>
      <c r="B47" s="362" t="s">
        <v>98</v>
      </c>
      <c r="C47" s="372"/>
      <c r="D47" s="372"/>
      <c r="E47" s="363"/>
      <c r="F47" s="80"/>
      <c r="G47" s="80"/>
      <c r="H47" s="124"/>
      <c r="I47" s="119"/>
      <c r="J47" s="119"/>
      <c r="K47" s="79"/>
      <c r="N47" s="52"/>
      <c r="O47" s="115"/>
      <c r="P47" s="115"/>
    </row>
    <row r="48" spans="1:16" x14ac:dyDescent="0.15">
      <c r="A48" s="3">
        <v>26</v>
      </c>
      <c r="B48" s="362" t="s">
        <v>99</v>
      </c>
      <c r="C48" s="372"/>
      <c r="D48" s="372"/>
      <c r="E48" s="363"/>
      <c r="F48" s="79">
        <f>F44+F45</f>
        <v>195000</v>
      </c>
      <c r="G48" s="79">
        <f>G44+G45</f>
        <v>316000</v>
      </c>
      <c r="H48" s="79">
        <f t="shared" ref="H48:I48" si="27">H44+H45</f>
        <v>316000</v>
      </c>
      <c r="I48" s="79">
        <f t="shared" si="27"/>
        <v>316000</v>
      </c>
      <c r="J48" s="79">
        <f t="shared" ref="J48" si="28">J44+J45</f>
        <v>316000</v>
      </c>
      <c r="K48" s="79">
        <f t="shared" si="21"/>
        <v>1459000</v>
      </c>
      <c r="O48" s="116"/>
      <c r="P48" s="116"/>
    </row>
  </sheetData>
  <mergeCells count="28">
    <mergeCell ref="B48:E48"/>
    <mergeCell ref="B45:E45"/>
    <mergeCell ref="C42:E42"/>
    <mergeCell ref="C43:E43"/>
    <mergeCell ref="C37:E37"/>
    <mergeCell ref="C38:D39"/>
    <mergeCell ref="C40:D41"/>
    <mergeCell ref="C44:E44"/>
    <mergeCell ref="B46:E46"/>
    <mergeCell ref="B47:E47"/>
    <mergeCell ref="B1:I1"/>
    <mergeCell ref="B24:B25"/>
    <mergeCell ref="C24:E25"/>
    <mergeCell ref="A12:B12"/>
    <mergeCell ref="K24:K25"/>
    <mergeCell ref="P25:P26"/>
    <mergeCell ref="A4:B4"/>
    <mergeCell ref="A5:B5"/>
    <mergeCell ref="D26:D27"/>
    <mergeCell ref="D29:E29"/>
    <mergeCell ref="C26:C30"/>
    <mergeCell ref="B26:B44"/>
    <mergeCell ref="D30:E30"/>
    <mergeCell ref="C31:D32"/>
    <mergeCell ref="C33:E33"/>
    <mergeCell ref="C34:E34"/>
    <mergeCell ref="C35:D36"/>
    <mergeCell ref="F24:G24"/>
  </mergeCells>
  <phoneticPr fontId="2" type="noConversion"/>
  <printOptions horizontalCentered="1" verticalCentered="1"/>
  <pageMargins left="0.25" right="0.25" top="0.75" bottom="0.75" header="0.3" footer="0.3"/>
  <pageSetup paperSize="9" orientation="landscape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S20"/>
  <sheetViews>
    <sheetView zoomScale="115" zoomScaleNormal="115" workbookViewId="0">
      <selection activeCell="D7" sqref="D7"/>
    </sheetView>
  </sheetViews>
  <sheetFormatPr defaultColWidth="8.88671875" defaultRowHeight="13.5" x14ac:dyDescent="0.15"/>
  <cols>
    <col min="1" max="1" width="6.5546875" style="3" bestFit="1" customWidth="1"/>
    <col min="2" max="2" width="9.88671875" style="3" bestFit="1" customWidth="1"/>
    <col min="3" max="3" width="9.88671875" style="3" customWidth="1"/>
    <col min="4" max="4" width="11" style="3" bestFit="1" customWidth="1"/>
    <col min="5" max="5" width="11.5546875" style="3" bestFit="1" customWidth="1"/>
    <col min="6" max="6" width="6.5546875" style="3" bestFit="1" customWidth="1"/>
    <col min="7" max="7" width="12.21875" style="3" customWidth="1"/>
    <col min="8" max="8" width="10.88671875" style="3" customWidth="1"/>
    <col min="9" max="9" width="9.77734375" style="3" bestFit="1" customWidth="1"/>
    <col min="10" max="10" width="6.5546875" style="3" customWidth="1"/>
    <col min="11" max="11" width="9.77734375" style="3" bestFit="1" customWidth="1"/>
    <col min="12" max="12" width="6.5546875" style="3" customWidth="1"/>
    <col min="13" max="13" width="9.77734375" style="3" customWidth="1"/>
    <col min="14" max="14" width="9.5546875" style="3" bestFit="1" customWidth="1"/>
    <col min="15" max="16" width="8.88671875" style="3"/>
    <col min="17" max="17" width="19.6640625" style="3" customWidth="1"/>
    <col min="18" max="19" width="9.88671875" style="3" bestFit="1" customWidth="1"/>
    <col min="20" max="16384" width="8.88671875" style="3"/>
  </cols>
  <sheetData>
    <row r="1" spans="1:19" ht="22.5" customHeight="1" x14ac:dyDescent="0.15">
      <c r="A1" s="382" t="s">
        <v>0</v>
      </c>
      <c r="B1" s="382"/>
      <c r="C1" s="382"/>
      <c r="D1" s="380" t="s">
        <v>19</v>
      </c>
      <c r="E1" s="380"/>
      <c r="F1" s="381" t="s">
        <v>18</v>
      </c>
      <c r="G1" s="381"/>
      <c r="H1" s="380" t="s">
        <v>20</v>
      </c>
      <c r="I1" s="380"/>
      <c r="J1" s="381" t="s">
        <v>26</v>
      </c>
      <c r="K1" s="381"/>
      <c r="L1" s="380" t="s">
        <v>27</v>
      </c>
      <c r="M1" s="380"/>
      <c r="N1" s="378" t="s">
        <v>17</v>
      </c>
      <c r="O1" s="62" t="s">
        <v>62</v>
      </c>
    </row>
    <row r="2" spans="1:19" ht="22.5" customHeight="1" x14ac:dyDescent="0.15">
      <c r="A2" s="382"/>
      <c r="B2" s="382"/>
      <c r="C2" s="382"/>
      <c r="D2" s="134" t="s">
        <v>55</v>
      </c>
      <c r="E2" s="134">
        <v>9</v>
      </c>
      <c r="F2" s="135" t="s">
        <v>55</v>
      </c>
      <c r="G2" s="135">
        <v>12</v>
      </c>
      <c r="H2" s="134" t="s">
        <v>55</v>
      </c>
      <c r="I2" s="134">
        <v>12</v>
      </c>
      <c r="J2" s="135" t="s">
        <v>55</v>
      </c>
      <c r="K2" s="135">
        <v>12</v>
      </c>
      <c r="L2" s="134" t="s">
        <v>55</v>
      </c>
      <c r="M2" s="134">
        <v>12</v>
      </c>
      <c r="N2" s="378"/>
      <c r="O2" s="63">
        <f>E2+G2+I2+K2+M2</f>
        <v>57</v>
      </c>
      <c r="P2" s="3" t="s">
        <v>60</v>
      </c>
    </row>
    <row r="3" spans="1:19" ht="22.5" customHeight="1" x14ac:dyDescent="0.15">
      <c r="A3" s="134" t="s">
        <v>50</v>
      </c>
      <c r="B3" s="134" t="s">
        <v>8</v>
      </c>
      <c r="C3" s="134" t="s">
        <v>10</v>
      </c>
      <c r="D3" s="134" t="s">
        <v>2</v>
      </c>
      <c r="E3" s="134" t="s">
        <v>22</v>
      </c>
      <c r="F3" s="134" t="s">
        <v>2</v>
      </c>
      <c r="G3" s="134" t="s">
        <v>22</v>
      </c>
      <c r="H3" s="134" t="s">
        <v>2</v>
      </c>
      <c r="I3" s="134" t="s">
        <v>22</v>
      </c>
      <c r="J3" s="134" t="s">
        <v>2</v>
      </c>
      <c r="K3" s="134" t="s">
        <v>22</v>
      </c>
      <c r="L3" s="134" t="s">
        <v>2</v>
      </c>
      <c r="M3" s="134" t="s">
        <v>22</v>
      </c>
      <c r="N3" s="378"/>
      <c r="O3" s="3" t="s">
        <v>66</v>
      </c>
    </row>
    <row r="4" spans="1:19" ht="22.5" customHeight="1" x14ac:dyDescent="0.15">
      <c r="A4" s="76" t="s">
        <v>69</v>
      </c>
      <c r="B4" s="65">
        <v>130000</v>
      </c>
      <c r="C4" s="145">
        <f t="shared" ref="C4:C7" si="0">ROUND(B4/12,0)</f>
        <v>10833</v>
      </c>
      <c r="D4" s="137">
        <v>0.13</v>
      </c>
      <c r="E4" s="133">
        <f>ROUND($C4*D4*E$2,0)</f>
        <v>12675</v>
      </c>
      <c r="F4" s="137">
        <v>0.2</v>
      </c>
      <c r="G4" s="133">
        <f>ROUND($C4*F4*G$2,0)</f>
        <v>25999</v>
      </c>
      <c r="H4" s="137">
        <v>0.18</v>
      </c>
      <c r="I4" s="133">
        <f>ROUND($C4*H4*I$2,0)</f>
        <v>23399</v>
      </c>
      <c r="J4" s="137">
        <v>0.13</v>
      </c>
      <c r="K4" s="133">
        <f>ROUND($C4*J4*K$2,0)</f>
        <v>16899</v>
      </c>
      <c r="L4" s="137">
        <v>0.2</v>
      </c>
      <c r="M4" s="133">
        <f>ROUND($C4*L4*M$2,0)</f>
        <v>25999</v>
      </c>
      <c r="N4" s="139">
        <f t="shared" ref="N4:N10" si="1">E4+G4+I4+K4+M4</f>
        <v>104971</v>
      </c>
      <c r="O4" s="15">
        <f t="shared" ref="O4:O10" si="2">N4/(C4*$O$2)</f>
        <v>0.16999875299806796</v>
      </c>
    </row>
    <row r="5" spans="1:19" ht="22.5" customHeight="1" x14ac:dyDescent="0.15">
      <c r="A5" s="76" t="s">
        <v>67</v>
      </c>
      <c r="B5" s="65">
        <v>120000</v>
      </c>
      <c r="C5" s="145">
        <f t="shared" si="0"/>
        <v>10000</v>
      </c>
      <c r="D5" s="137">
        <v>0.11</v>
      </c>
      <c r="E5" s="133">
        <f t="shared" ref="E5:E10" si="3">ROUND($C5*D5*E$2,0)</f>
        <v>9900</v>
      </c>
      <c r="F5" s="137">
        <v>0.17</v>
      </c>
      <c r="G5" s="133">
        <f t="shared" ref="G5:G10" si="4">ROUND($C5*F5*G$2,0)</f>
        <v>20400</v>
      </c>
      <c r="H5" s="137">
        <v>0.15</v>
      </c>
      <c r="I5" s="133">
        <f t="shared" ref="I5:I10" si="5">ROUND($C5*H5*I$2,0)</f>
        <v>18000</v>
      </c>
      <c r="J5" s="137">
        <v>0.11</v>
      </c>
      <c r="K5" s="133">
        <f t="shared" ref="K5:K10" si="6">ROUND($C5*J5*K$2,0)</f>
        <v>13200</v>
      </c>
      <c r="L5" s="137">
        <v>0.17</v>
      </c>
      <c r="M5" s="133">
        <f t="shared" ref="M5:M10" si="7">ROUND($C5*L5*M$2,0)</f>
        <v>20400</v>
      </c>
      <c r="N5" s="139">
        <f t="shared" si="1"/>
        <v>81900</v>
      </c>
      <c r="O5" s="15">
        <f t="shared" si="2"/>
        <v>0.1436842105263158</v>
      </c>
    </row>
    <row r="6" spans="1:19" ht="22.5" customHeight="1" x14ac:dyDescent="0.15">
      <c r="A6" s="76" t="s">
        <v>70</v>
      </c>
      <c r="B6" s="65">
        <v>110000</v>
      </c>
      <c r="C6" s="145">
        <f t="shared" si="0"/>
        <v>9167</v>
      </c>
      <c r="D6" s="137">
        <v>0.11</v>
      </c>
      <c r="E6" s="133">
        <f t="shared" si="3"/>
        <v>9075</v>
      </c>
      <c r="F6" s="137">
        <v>0.17</v>
      </c>
      <c r="G6" s="133">
        <f t="shared" si="4"/>
        <v>18701</v>
      </c>
      <c r="H6" s="137">
        <v>0.15</v>
      </c>
      <c r="I6" s="144">
        <f>ROUND($C6*H6*I$2,0)</f>
        <v>16501</v>
      </c>
      <c r="J6" s="137">
        <v>0.11</v>
      </c>
      <c r="K6" s="144">
        <f>ROUND($C6*J6*K$2,0)</f>
        <v>12100</v>
      </c>
      <c r="L6" s="137">
        <v>0.17</v>
      </c>
      <c r="M6" s="133">
        <f t="shared" si="7"/>
        <v>18701</v>
      </c>
      <c r="N6" s="139">
        <f t="shared" si="1"/>
        <v>75078</v>
      </c>
      <c r="O6" s="15">
        <f t="shared" si="2"/>
        <v>0.14368472725393719</v>
      </c>
    </row>
    <row r="7" spans="1:19" ht="22.5" customHeight="1" x14ac:dyDescent="0.15">
      <c r="A7" s="76" t="s">
        <v>138</v>
      </c>
      <c r="B7" s="65">
        <v>30000</v>
      </c>
      <c r="C7" s="145">
        <f t="shared" si="0"/>
        <v>2500</v>
      </c>
      <c r="D7" s="137">
        <v>0.3</v>
      </c>
      <c r="E7" s="133">
        <f t="shared" ref="E7:E9" si="8">ROUND($C7*D7*E$2,0)</f>
        <v>6750</v>
      </c>
      <c r="F7" s="137">
        <v>0.5</v>
      </c>
      <c r="G7" s="133">
        <f t="shared" si="4"/>
        <v>15000</v>
      </c>
      <c r="H7" s="137">
        <v>0.3</v>
      </c>
      <c r="I7" s="133">
        <f t="shared" ref="I7:I9" si="9">ROUND($C7*H7*I$2,0)</f>
        <v>9000</v>
      </c>
      <c r="J7" s="137">
        <v>0.2</v>
      </c>
      <c r="K7" s="133">
        <f t="shared" ref="K7:K9" si="10">ROUND($C7*J7*K$2,0)</f>
        <v>6000</v>
      </c>
      <c r="L7" s="137">
        <v>0.5</v>
      </c>
      <c r="M7" s="133">
        <f t="shared" ref="M7:M9" si="11">ROUND($C7*L7*M$2,0)</f>
        <v>15000</v>
      </c>
      <c r="N7" s="139">
        <f t="shared" si="1"/>
        <v>51750</v>
      </c>
      <c r="O7" s="15">
        <f t="shared" si="2"/>
        <v>0.36315789473684212</v>
      </c>
    </row>
    <row r="8" spans="1:19" ht="22.5" customHeight="1" x14ac:dyDescent="0.15">
      <c r="A8" s="76" t="s">
        <v>54</v>
      </c>
      <c r="B8" s="65">
        <v>60000</v>
      </c>
      <c r="C8" s="145">
        <f>ROUND(B8/12,0)</f>
        <v>5000</v>
      </c>
      <c r="D8" s="137">
        <v>0.3</v>
      </c>
      <c r="E8" s="133">
        <f t="shared" si="8"/>
        <v>13500</v>
      </c>
      <c r="F8" s="137">
        <v>0.5</v>
      </c>
      <c r="G8" s="133">
        <f t="shared" si="4"/>
        <v>30000</v>
      </c>
      <c r="H8" s="137">
        <v>0.3</v>
      </c>
      <c r="I8" s="133">
        <f>ROUND($C8*H8*I$2,0)</f>
        <v>18000</v>
      </c>
      <c r="J8" s="137">
        <v>0.2</v>
      </c>
      <c r="K8" s="133">
        <f t="shared" si="10"/>
        <v>12000</v>
      </c>
      <c r="L8" s="137">
        <v>0.5</v>
      </c>
      <c r="M8" s="133">
        <f t="shared" si="11"/>
        <v>30000</v>
      </c>
      <c r="N8" s="139">
        <f t="shared" si="1"/>
        <v>103500</v>
      </c>
      <c r="O8" s="15">
        <f t="shared" si="2"/>
        <v>0.36315789473684212</v>
      </c>
    </row>
    <row r="9" spans="1:19" ht="22.5" customHeight="1" x14ac:dyDescent="0.15">
      <c r="A9" s="76" t="s">
        <v>108</v>
      </c>
      <c r="B9" s="65">
        <v>30000</v>
      </c>
      <c r="C9" s="145">
        <f>ROUND(B9/12,0)</f>
        <v>2500</v>
      </c>
      <c r="D9" s="137">
        <v>0.2</v>
      </c>
      <c r="E9" s="133">
        <f t="shared" si="8"/>
        <v>4500</v>
      </c>
      <c r="F9" s="137">
        <v>0.5</v>
      </c>
      <c r="G9" s="133">
        <f t="shared" si="4"/>
        <v>15000</v>
      </c>
      <c r="H9" s="137">
        <v>0.3</v>
      </c>
      <c r="I9" s="133">
        <f t="shared" si="9"/>
        <v>9000</v>
      </c>
      <c r="J9" s="137">
        <v>0.2</v>
      </c>
      <c r="K9" s="133">
        <f t="shared" si="10"/>
        <v>6000</v>
      </c>
      <c r="L9" s="137">
        <v>0.5</v>
      </c>
      <c r="M9" s="133">
        <f t="shared" si="11"/>
        <v>15000</v>
      </c>
      <c r="N9" s="139">
        <f t="shared" si="1"/>
        <v>49500</v>
      </c>
      <c r="O9" s="15">
        <f t="shared" si="2"/>
        <v>0.3473684210526316</v>
      </c>
    </row>
    <row r="10" spans="1:19" ht="22.5" customHeight="1" x14ac:dyDescent="0.15">
      <c r="A10" s="76"/>
      <c r="B10" s="65"/>
      <c r="C10" s="136"/>
      <c r="D10" s="137">
        <v>0</v>
      </c>
      <c r="E10" s="133">
        <f t="shared" si="3"/>
        <v>0</v>
      </c>
      <c r="F10" s="137">
        <v>0</v>
      </c>
      <c r="G10" s="133">
        <f t="shared" si="4"/>
        <v>0</v>
      </c>
      <c r="H10" s="137">
        <v>0</v>
      </c>
      <c r="I10" s="133">
        <f t="shared" si="5"/>
        <v>0</v>
      </c>
      <c r="J10" s="137">
        <v>0</v>
      </c>
      <c r="K10" s="133">
        <f t="shared" si="6"/>
        <v>0</v>
      </c>
      <c r="L10" s="138">
        <v>0</v>
      </c>
      <c r="M10" s="133">
        <f t="shared" si="7"/>
        <v>0</v>
      </c>
      <c r="N10" s="139">
        <f t="shared" si="1"/>
        <v>0</v>
      </c>
      <c r="O10" s="15" t="e">
        <f t="shared" si="2"/>
        <v>#DIV/0!</v>
      </c>
    </row>
    <row r="11" spans="1:19" ht="22.5" customHeight="1" x14ac:dyDescent="0.15">
      <c r="A11" s="379" t="s">
        <v>7</v>
      </c>
      <c r="B11" s="379"/>
      <c r="C11" s="379"/>
      <c r="D11" s="140"/>
      <c r="E11" s="141">
        <f>SUM(E4:E10)</f>
        <v>56400</v>
      </c>
      <c r="F11" s="142"/>
      <c r="G11" s="141">
        <f>SUM(G4:G10)</f>
        <v>125100</v>
      </c>
      <c r="H11" s="142"/>
      <c r="I11" s="141">
        <f>SUM(I4:I10)</f>
        <v>93900</v>
      </c>
      <c r="J11" s="142"/>
      <c r="K11" s="141">
        <f>SUM(K4:K10)</f>
        <v>66199</v>
      </c>
      <c r="L11" s="1"/>
      <c r="M11" s="141">
        <f>SUM(M4:M10)</f>
        <v>125100</v>
      </c>
      <c r="N11" s="143">
        <f>E11+G11+I11+K11+M11</f>
        <v>466699</v>
      </c>
    </row>
    <row r="12" spans="1:19" ht="10.5" customHeight="1" x14ac:dyDescent="0.15"/>
    <row r="13" spans="1:19" x14ac:dyDescent="0.15">
      <c r="A13" s="3" t="s">
        <v>56</v>
      </c>
      <c r="B13" s="52">
        <f>COUNTA(A4:A10)</f>
        <v>6</v>
      </c>
      <c r="C13" s="3" t="s">
        <v>57</v>
      </c>
      <c r="D13" s="52" t="s">
        <v>141</v>
      </c>
      <c r="E13" s="102">
        <f>E4+E5+E6+E7+E8+E9</f>
        <v>56400</v>
      </c>
      <c r="G13" s="102">
        <f>G4+G5+G6+G7+G8+G9</f>
        <v>125100</v>
      </c>
      <c r="I13" s="102">
        <f>I4+I5+I6+I7+I8+I9</f>
        <v>93900</v>
      </c>
      <c r="K13" s="102">
        <f>K4+K5+K6+K7+K8+K9</f>
        <v>66199</v>
      </c>
      <c r="M13" s="102">
        <f>M4+M5+M6+M7+M8+M9</f>
        <v>125100</v>
      </c>
      <c r="N13" s="102">
        <f>N4+N5+N6+N7+N8+N9</f>
        <v>466699</v>
      </c>
    </row>
    <row r="14" spans="1:19" x14ac:dyDescent="0.15">
      <c r="A14" s="3" t="s">
        <v>105</v>
      </c>
      <c r="B14" s="52">
        <v>2</v>
      </c>
      <c r="C14" s="3" t="s">
        <v>57</v>
      </c>
      <c r="D14" s="52" t="s">
        <v>139</v>
      </c>
      <c r="E14" s="71" t="e">
        <f>#REF!+#REF!</f>
        <v>#REF!</v>
      </c>
      <c r="G14" s="71" t="e">
        <f>#REF!+#REF!</f>
        <v>#REF!</v>
      </c>
      <c r="H14" s="16"/>
      <c r="I14" s="71" t="e">
        <f>#REF!+#REF!</f>
        <v>#REF!</v>
      </c>
      <c r="J14" s="16"/>
      <c r="K14" s="71" t="e">
        <f>#REF!+#REF!</f>
        <v>#REF!</v>
      </c>
      <c r="M14" s="71" t="e">
        <f>#REF!+#REF!</f>
        <v>#REF!</v>
      </c>
      <c r="N14" s="71" t="e">
        <f>#REF!+#REF!</f>
        <v>#REF!</v>
      </c>
    </row>
    <row r="15" spans="1:19" x14ac:dyDescent="0.15">
      <c r="B15" s="15">
        <f>B14/B13</f>
        <v>0.33333333333333331</v>
      </c>
      <c r="E15" s="71"/>
      <c r="G15"/>
      <c r="H15"/>
      <c r="I15"/>
      <c r="J15"/>
      <c r="K15"/>
    </row>
    <row r="16" spans="1:19" x14ac:dyDescent="0.15">
      <c r="G16" s="114"/>
      <c r="I16" s="114"/>
      <c r="K16" s="111"/>
      <c r="Q16" s="121"/>
      <c r="R16" s="16"/>
      <c r="S16" s="16"/>
    </row>
    <row r="17" spans="5:19" x14ac:dyDescent="0.15">
      <c r="E17" s="377"/>
      <c r="F17" s="377"/>
      <c r="G17" s="111"/>
      <c r="I17" s="111"/>
      <c r="K17" s="111"/>
      <c r="Q17" s="121"/>
      <c r="R17" s="121"/>
      <c r="S17" s="121"/>
    </row>
    <row r="18" spans="5:19" x14ac:dyDescent="0.15">
      <c r="F18" s="132"/>
    </row>
    <row r="19" spans="5:19" x14ac:dyDescent="0.15">
      <c r="F19" s="132"/>
    </row>
    <row r="20" spans="5:19" x14ac:dyDescent="0.15">
      <c r="F20" s="132"/>
      <c r="G20" s="71"/>
      <c r="H20" s="71"/>
      <c r="I20" s="71"/>
      <c r="J20" s="71"/>
      <c r="K20" s="71"/>
    </row>
  </sheetData>
  <mergeCells count="9">
    <mergeCell ref="E17:F17"/>
    <mergeCell ref="N1:N3"/>
    <mergeCell ref="A11:C11"/>
    <mergeCell ref="D1:E1"/>
    <mergeCell ref="F1:G1"/>
    <mergeCell ref="H1:I1"/>
    <mergeCell ref="L1:M1"/>
    <mergeCell ref="J1:K1"/>
    <mergeCell ref="A1:C2"/>
  </mergeCells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fitToWidth="0" orientation="landscape" horizontalDpi="4294967295" verticalDpi="429496729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G79"/>
  <sheetViews>
    <sheetView zoomScale="85" zoomScaleNormal="85" workbookViewId="0">
      <pane ySplit="1" topLeftCell="A24" activePane="bottomLeft" state="frozen"/>
      <selection pane="bottomLeft" activeCell="P35" sqref="P35"/>
    </sheetView>
  </sheetViews>
  <sheetFormatPr defaultColWidth="8.88671875" defaultRowHeight="13.5" x14ac:dyDescent="0.15"/>
  <cols>
    <col min="1" max="1" width="18.6640625" style="3" bestFit="1" customWidth="1"/>
    <col min="2" max="2" width="40.33203125" style="42" customWidth="1"/>
    <col min="3" max="3" width="5.109375" style="3" customWidth="1"/>
    <col min="4" max="4" width="8.77734375" style="3" bestFit="1" customWidth="1"/>
    <col min="5" max="5" width="12.6640625" style="3" customWidth="1"/>
    <col min="6" max="6" width="5.109375" style="3" customWidth="1"/>
    <col min="7" max="7" width="9.88671875" style="3" customWidth="1"/>
    <col min="8" max="8" width="16.6640625" style="3" bestFit="1" customWidth="1"/>
    <col min="9" max="9" width="5.21875" style="3" bestFit="1" customWidth="1"/>
    <col min="10" max="10" width="11.33203125" style="3" customWidth="1"/>
    <col min="11" max="11" width="14.88671875" style="3" bestFit="1" customWidth="1"/>
    <col min="12" max="12" width="5.21875" style="3" customWidth="1"/>
    <col min="13" max="13" width="10.109375" style="3" customWidth="1"/>
    <col min="14" max="14" width="15.21875" style="3" customWidth="1"/>
    <col min="15" max="15" width="5.109375" style="3" customWidth="1"/>
    <col min="16" max="16" width="9.109375" style="3" customWidth="1"/>
    <col min="17" max="17" width="14.5546875" style="3" customWidth="1"/>
    <col min="18" max="19" width="8.88671875" style="3" customWidth="1"/>
    <col min="20" max="20" width="10.6640625" style="3" customWidth="1"/>
    <col min="21" max="21" width="11.5546875" style="3" bestFit="1" customWidth="1"/>
    <col min="22" max="22" width="9.88671875" style="3" bestFit="1" customWidth="1"/>
    <col min="23" max="16384" width="8.88671875" style="3"/>
  </cols>
  <sheetData>
    <row r="1" spans="1:20" ht="18.75" x14ac:dyDescent="0.15">
      <c r="A1" s="394" t="s">
        <v>25</v>
      </c>
      <c r="B1" s="396" t="s">
        <v>3</v>
      </c>
      <c r="C1" s="383" t="s">
        <v>19</v>
      </c>
      <c r="D1" s="384"/>
      <c r="E1" s="385"/>
      <c r="F1" s="383" t="s">
        <v>18</v>
      </c>
      <c r="G1" s="384"/>
      <c r="H1" s="385"/>
      <c r="I1" s="384" t="s">
        <v>20</v>
      </c>
      <c r="J1" s="384"/>
      <c r="K1" s="385"/>
      <c r="L1" s="384" t="s">
        <v>26</v>
      </c>
      <c r="M1" s="384"/>
      <c r="N1" s="385"/>
      <c r="O1" s="384" t="s">
        <v>27</v>
      </c>
      <c r="P1" s="384"/>
      <c r="Q1" s="385"/>
      <c r="R1" s="384" t="s">
        <v>58</v>
      </c>
      <c r="S1" s="384"/>
      <c r="T1" s="385"/>
    </row>
    <row r="2" spans="1:20" ht="14.25" thickBot="1" x14ac:dyDescent="0.2">
      <c r="A2" s="395"/>
      <c r="B2" s="397"/>
      <c r="C2" s="23" t="s">
        <v>16</v>
      </c>
      <c r="D2" s="24" t="s">
        <v>23</v>
      </c>
      <c r="E2" s="25" t="s">
        <v>4</v>
      </c>
      <c r="F2" s="23" t="s">
        <v>16</v>
      </c>
      <c r="G2" s="24" t="s">
        <v>23</v>
      </c>
      <c r="H2" s="25" t="s">
        <v>4</v>
      </c>
      <c r="I2" s="26" t="s">
        <v>16</v>
      </c>
      <c r="J2" s="24" t="s">
        <v>23</v>
      </c>
      <c r="K2" s="25" t="s">
        <v>4</v>
      </c>
      <c r="L2" s="26" t="s">
        <v>16</v>
      </c>
      <c r="M2" s="24" t="s">
        <v>23</v>
      </c>
      <c r="N2" s="25" t="s">
        <v>4</v>
      </c>
      <c r="O2" s="26" t="s">
        <v>16</v>
      </c>
      <c r="P2" s="24" t="s">
        <v>23</v>
      </c>
      <c r="Q2" s="25" t="s">
        <v>4</v>
      </c>
      <c r="R2" s="26" t="s">
        <v>16</v>
      </c>
      <c r="S2" s="24" t="s">
        <v>23</v>
      </c>
      <c r="T2" s="25" t="s">
        <v>4</v>
      </c>
    </row>
    <row r="3" spans="1:20" ht="22.5" customHeight="1" thickTop="1" thickBot="1" x14ac:dyDescent="0.2">
      <c r="A3" s="84" t="s">
        <v>28</v>
      </c>
      <c r="B3" s="151"/>
      <c r="C3" s="228"/>
      <c r="D3" s="229" t="s">
        <v>6</v>
      </c>
      <c r="E3" s="230">
        <f>E4+E6+E8+E37+E39</f>
        <v>71534</v>
      </c>
      <c r="F3" s="228"/>
      <c r="G3" s="229" t="s">
        <v>5</v>
      </c>
      <c r="H3" s="230">
        <f>H4+H6+H8+H37+H39</f>
        <v>54780</v>
      </c>
      <c r="I3" s="231"/>
      <c r="J3" s="229" t="s">
        <v>5</v>
      </c>
      <c r="K3" s="230">
        <f>K4+K6+K8+K37+K39</f>
        <v>113320</v>
      </c>
      <c r="L3" s="231"/>
      <c r="M3" s="229" t="s">
        <v>5</v>
      </c>
      <c r="N3" s="230">
        <f>N4+N6+N8+N37+N39</f>
        <v>151562</v>
      </c>
      <c r="O3" s="231"/>
      <c r="P3" s="229" t="s">
        <v>5</v>
      </c>
      <c r="Q3" s="230">
        <f>Q4+Q6+Q8+Q37+Q39</f>
        <v>55880</v>
      </c>
      <c r="R3" s="152"/>
      <c r="S3" s="40" t="s">
        <v>5</v>
      </c>
      <c r="T3" s="41">
        <f>T4+T6+T8+T34+T36</f>
        <v>0</v>
      </c>
    </row>
    <row r="4" spans="1:20" x14ac:dyDescent="0.15">
      <c r="A4" s="153" t="s">
        <v>51</v>
      </c>
      <c r="B4" s="154"/>
      <c r="C4" s="212"/>
      <c r="D4" s="232" t="s">
        <v>15</v>
      </c>
      <c r="E4" s="233">
        <f>SUM(E5:E5)</f>
        <v>0</v>
      </c>
      <c r="F4" s="212"/>
      <c r="G4" s="232" t="s">
        <v>5</v>
      </c>
      <c r="H4" s="233">
        <f>SUM(H5:H5)</f>
        <v>0</v>
      </c>
      <c r="I4" s="234"/>
      <c r="J4" s="232" t="s">
        <v>5</v>
      </c>
      <c r="K4" s="233">
        <f>SUM(K5:K5)</f>
        <v>0</v>
      </c>
      <c r="L4" s="234"/>
      <c r="M4" s="232" t="s">
        <v>5</v>
      </c>
      <c r="N4" s="233">
        <f>SUM(N5:N5)</f>
        <v>0</v>
      </c>
      <c r="O4" s="234"/>
      <c r="P4" s="232" t="s">
        <v>5</v>
      </c>
      <c r="Q4" s="233">
        <f>SUM(Q5:Q5)</f>
        <v>0</v>
      </c>
      <c r="R4" s="155"/>
      <c r="S4" s="6" t="s">
        <v>5</v>
      </c>
      <c r="T4" s="7">
        <f>SUM(T5:T5)</f>
        <v>0</v>
      </c>
    </row>
    <row r="5" spans="1:20" ht="14.25" thickBot="1" x14ac:dyDescent="0.2">
      <c r="A5" s="156"/>
      <c r="B5" s="157"/>
      <c r="C5" s="220">
        <v>0</v>
      </c>
      <c r="D5" s="235">
        <v>0</v>
      </c>
      <c r="E5" s="236">
        <f>C5*D5</f>
        <v>0</v>
      </c>
      <c r="F5" s="220">
        <v>0</v>
      </c>
      <c r="G5" s="235">
        <v>0</v>
      </c>
      <c r="H5" s="236">
        <f>F5*G5</f>
        <v>0</v>
      </c>
      <c r="I5" s="237">
        <v>0</v>
      </c>
      <c r="J5" s="235">
        <v>0</v>
      </c>
      <c r="K5" s="236">
        <f>I5*J5</f>
        <v>0</v>
      </c>
      <c r="L5" s="237">
        <v>0</v>
      </c>
      <c r="M5" s="235">
        <v>0</v>
      </c>
      <c r="N5" s="236">
        <f>L5*M5</f>
        <v>0</v>
      </c>
      <c r="O5" s="237">
        <v>0</v>
      </c>
      <c r="P5" s="235">
        <v>0</v>
      </c>
      <c r="Q5" s="236">
        <f>O5*P5</f>
        <v>0</v>
      </c>
      <c r="R5" s="158">
        <v>0</v>
      </c>
      <c r="S5" s="159">
        <v>0</v>
      </c>
      <c r="T5" s="160">
        <f>R5*S5</f>
        <v>0</v>
      </c>
    </row>
    <row r="6" spans="1:20" ht="14.25" thickTop="1" x14ac:dyDescent="0.15">
      <c r="A6" s="161" t="s">
        <v>52</v>
      </c>
      <c r="B6" s="162"/>
      <c r="C6" s="238"/>
      <c r="D6" s="239" t="s">
        <v>15</v>
      </c>
      <c r="E6" s="240">
        <f>SUM(E7:E7)</f>
        <v>0</v>
      </c>
      <c r="F6" s="238"/>
      <c r="G6" s="239" t="s">
        <v>5</v>
      </c>
      <c r="H6" s="240">
        <f>SUM(H7:H7)</f>
        <v>0</v>
      </c>
      <c r="I6" s="241"/>
      <c r="J6" s="239" t="s">
        <v>5</v>
      </c>
      <c r="K6" s="240">
        <f>SUM(K7:K7)</f>
        <v>0</v>
      </c>
      <c r="L6" s="241"/>
      <c r="M6" s="239" t="s">
        <v>5</v>
      </c>
      <c r="N6" s="240">
        <f>SUM(N7:N7)</f>
        <v>0</v>
      </c>
      <c r="O6" s="241"/>
      <c r="P6" s="239" t="s">
        <v>5</v>
      </c>
      <c r="Q6" s="240">
        <f>SUM(Q7:Q7)</f>
        <v>0</v>
      </c>
      <c r="R6" s="163"/>
      <c r="S6" s="19" t="s">
        <v>5</v>
      </c>
      <c r="T6" s="22">
        <f>SUM(T7:T7)</f>
        <v>0</v>
      </c>
    </row>
    <row r="7" spans="1:20" ht="14.25" thickBot="1" x14ac:dyDescent="0.2">
      <c r="A7" s="164"/>
      <c r="B7" s="165"/>
      <c r="C7" s="242">
        <v>0</v>
      </c>
      <c r="D7" s="243">
        <v>0</v>
      </c>
      <c r="E7" s="244">
        <f>C7*D7</f>
        <v>0</v>
      </c>
      <c r="F7" s="242">
        <v>0</v>
      </c>
      <c r="G7" s="243">
        <v>0</v>
      </c>
      <c r="H7" s="244">
        <f>F7*G7</f>
        <v>0</v>
      </c>
      <c r="I7" s="245">
        <v>0</v>
      </c>
      <c r="J7" s="243">
        <v>0</v>
      </c>
      <c r="K7" s="244">
        <f>I7*J7</f>
        <v>0</v>
      </c>
      <c r="L7" s="245">
        <v>0</v>
      </c>
      <c r="M7" s="243">
        <v>0</v>
      </c>
      <c r="N7" s="244">
        <f>L7*M7</f>
        <v>0</v>
      </c>
      <c r="O7" s="245">
        <v>0</v>
      </c>
      <c r="P7" s="243">
        <v>0</v>
      </c>
      <c r="Q7" s="244">
        <f>O7*P7</f>
        <v>0</v>
      </c>
      <c r="R7" s="166">
        <v>0</v>
      </c>
      <c r="S7" s="167">
        <v>0</v>
      </c>
      <c r="T7" s="168">
        <f>R7*S7</f>
        <v>0</v>
      </c>
    </row>
    <row r="8" spans="1:20" ht="14.25" thickTop="1" x14ac:dyDescent="0.15">
      <c r="A8" s="153" t="s">
        <v>53</v>
      </c>
      <c r="B8" s="154"/>
      <c r="C8" s="212"/>
      <c r="D8" s="246" t="s">
        <v>15</v>
      </c>
      <c r="E8" s="247">
        <f>SUM(E10:E36)</f>
        <v>71534</v>
      </c>
      <c r="F8" s="212"/>
      <c r="G8" s="246" t="s">
        <v>5</v>
      </c>
      <c r="H8" s="247">
        <f>ROUNDDOWN(SUM(H10:H36),0)</f>
        <v>54780</v>
      </c>
      <c r="I8" s="234"/>
      <c r="J8" s="246" t="s">
        <v>5</v>
      </c>
      <c r="K8" s="247">
        <f>ROUNDDOWN(SUM(K10:K36),0)</f>
        <v>113320</v>
      </c>
      <c r="L8" s="234"/>
      <c r="M8" s="246" t="s">
        <v>5</v>
      </c>
      <c r="N8" s="247">
        <f>ROUNDDOWN(SUM(N10:N36),0)</f>
        <v>151562</v>
      </c>
      <c r="O8" s="234"/>
      <c r="P8" s="246" t="s">
        <v>5</v>
      </c>
      <c r="Q8" s="247">
        <f>ROUNDDOWN(SUM(Q10:Q36),0)</f>
        <v>55880</v>
      </c>
      <c r="R8" s="155"/>
      <c r="S8" s="17" t="s">
        <v>5</v>
      </c>
      <c r="T8" s="10">
        <f>ROUNDDOWN(SUM(T10:T32),0)</f>
        <v>0</v>
      </c>
    </row>
    <row r="9" spans="1:20" ht="12.75" customHeight="1" thickBot="1" x14ac:dyDescent="0.2">
      <c r="A9" s="169"/>
      <c r="B9" s="170"/>
      <c r="C9" s="223"/>
      <c r="D9" s="248"/>
      <c r="E9" s="249"/>
      <c r="F9" s="223"/>
      <c r="G9" s="248"/>
      <c r="H9" s="249"/>
      <c r="I9" s="250"/>
      <c r="J9" s="248"/>
      <c r="K9" s="249"/>
      <c r="L9" s="250"/>
      <c r="M9" s="248"/>
      <c r="N9" s="249"/>
      <c r="O9" s="234"/>
      <c r="P9" s="246"/>
      <c r="Q9" s="247"/>
      <c r="R9" s="155"/>
      <c r="S9" s="17"/>
      <c r="T9" s="10"/>
    </row>
    <row r="10" spans="1:20" ht="14.25" thickBot="1" x14ac:dyDescent="0.2">
      <c r="A10" s="386" t="s">
        <v>19</v>
      </c>
      <c r="B10" s="172" t="s">
        <v>147</v>
      </c>
      <c r="C10" s="203">
        <v>1</v>
      </c>
      <c r="D10" s="252">
        <v>40000</v>
      </c>
      <c r="E10" s="205">
        <f>C10*D10</f>
        <v>40000</v>
      </c>
      <c r="F10" s="308">
        <v>0</v>
      </c>
      <c r="G10" s="309">
        <v>0</v>
      </c>
      <c r="H10" s="310">
        <f t="shared" ref="H10:H30" si="0">F10*G10</f>
        <v>0</v>
      </c>
      <c r="I10" s="308"/>
      <c r="J10" s="309">
        <v>0</v>
      </c>
      <c r="K10" s="310">
        <f t="shared" ref="K10:K30" si="1">I10*J10</f>
        <v>0</v>
      </c>
      <c r="L10" s="308"/>
      <c r="M10" s="309">
        <v>0</v>
      </c>
      <c r="N10" s="310">
        <f t="shared" ref="N10:N30" si="2">L10*M10</f>
        <v>0</v>
      </c>
      <c r="O10" s="308"/>
      <c r="P10" s="309">
        <v>0</v>
      </c>
      <c r="Q10" s="310">
        <f t="shared" ref="Q10:Q12" si="3">O10*P10</f>
        <v>0</v>
      </c>
      <c r="R10" s="173"/>
      <c r="S10" s="174"/>
      <c r="T10" s="175"/>
    </row>
    <row r="11" spans="1:20" x14ac:dyDescent="0.15">
      <c r="A11" s="387"/>
      <c r="B11" s="295" t="s">
        <v>148</v>
      </c>
      <c r="C11" s="340">
        <v>2</v>
      </c>
      <c r="D11" s="341">
        <v>10000</v>
      </c>
      <c r="E11" s="342">
        <f>C11*D11</f>
        <v>20000</v>
      </c>
      <c r="F11" s="299">
        <v>0</v>
      </c>
      <c r="G11" s="300">
        <v>0</v>
      </c>
      <c r="H11" s="301">
        <f t="shared" si="0"/>
        <v>0</v>
      </c>
      <c r="I11" s="299"/>
      <c r="J11" s="297">
        <v>0</v>
      </c>
      <c r="K11" s="301">
        <f t="shared" si="1"/>
        <v>0</v>
      </c>
      <c r="L11" s="299"/>
      <c r="M11" s="297">
        <v>0</v>
      </c>
      <c r="N11" s="301">
        <f t="shared" si="2"/>
        <v>0</v>
      </c>
      <c r="O11" s="296"/>
      <c r="P11" s="297">
        <v>0</v>
      </c>
      <c r="Q11" s="311">
        <f t="shared" si="3"/>
        <v>0</v>
      </c>
      <c r="R11" s="173"/>
      <c r="S11" s="174"/>
      <c r="T11" s="175"/>
    </row>
    <row r="12" spans="1:20" ht="14.25" thickBot="1" x14ac:dyDescent="0.2">
      <c r="A12" s="388"/>
      <c r="B12" s="176" t="s">
        <v>149</v>
      </c>
      <c r="C12" s="251">
        <v>1</v>
      </c>
      <c r="D12" s="252">
        <v>8000</v>
      </c>
      <c r="E12" s="253">
        <f t="shared" ref="E12:E30" si="4">C12*D12</f>
        <v>8000</v>
      </c>
      <c r="F12" s="312">
        <v>0</v>
      </c>
      <c r="G12" s="313">
        <v>0</v>
      </c>
      <c r="H12" s="314">
        <f t="shared" si="0"/>
        <v>0</v>
      </c>
      <c r="I12" s="315"/>
      <c r="J12" s="316">
        <v>0</v>
      </c>
      <c r="K12" s="314">
        <f t="shared" si="1"/>
        <v>0</v>
      </c>
      <c r="L12" s="315"/>
      <c r="M12" s="316">
        <v>0</v>
      </c>
      <c r="N12" s="314">
        <f t="shared" si="2"/>
        <v>0</v>
      </c>
      <c r="O12" s="315"/>
      <c r="P12" s="316">
        <v>0</v>
      </c>
      <c r="Q12" s="314">
        <f t="shared" si="3"/>
        <v>0</v>
      </c>
      <c r="R12" s="173"/>
      <c r="S12" s="174"/>
      <c r="T12" s="175"/>
    </row>
    <row r="13" spans="1:20" x14ac:dyDescent="0.15">
      <c r="A13" s="389" t="s">
        <v>18</v>
      </c>
      <c r="B13" s="281" t="s">
        <v>150</v>
      </c>
      <c r="C13" s="296"/>
      <c r="D13" s="297">
        <v>0</v>
      </c>
      <c r="E13" s="298">
        <f t="shared" si="4"/>
        <v>0</v>
      </c>
      <c r="F13" s="223">
        <v>2</v>
      </c>
      <c r="G13" s="224">
        <v>15000</v>
      </c>
      <c r="H13" s="222">
        <f t="shared" ref="H13" si="5">F13*G13</f>
        <v>30000</v>
      </c>
      <c r="I13" s="299"/>
      <c r="J13" s="309">
        <v>0</v>
      </c>
      <c r="K13" s="310">
        <f t="shared" si="1"/>
        <v>0</v>
      </c>
      <c r="L13" s="308"/>
      <c r="M13" s="309">
        <v>0</v>
      </c>
      <c r="N13" s="310">
        <f t="shared" si="2"/>
        <v>0</v>
      </c>
      <c r="O13" s="308"/>
      <c r="P13" s="309">
        <v>0</v>
      </c>
      <c r="Q13" s="310">
        <f t="shared" ref="Q13:Q17" si="6">O13*P13</f>
        <v>0</v>
      </c>
      <c r="R13" s="173"/>
      <c r="S13" s="174"/>
      <c r="T13" s="175"/>
    </row>
    <row r="14" spans="1:20" x14ac:dyDescent="0.15">
      <c r="A14" s="390"/>
      <c r="B14" s="289" t="s">
        <v>148</v>
      </c>
      <c r="C14" s="299"/>
      <c r="D14" s="300">
        <v>0</v>
      </c>
      <c r="E14" s="301">
        <f t="shared" si="4"/>
        <v>0</v>
      </c>
      <c r="F14" s="223">
        <v>1</v>
      </c>
      <c r="G14" s="224">
        <v>10000</v>
      </c>
      <c r="H14" s="222">
        <f t="shared" ref="H14:H16" si="7">F14*G14</f>
        <v>10000</v>
      </c>
      <c r="I14" s="299"/>
      <c r="J14" s="300">
        <v>0</v>
      </c>
      <c r="K14" s="301">
        <f t="shared" si="1"/>
        <v>0</v>
      </c>
      <c r="L14" s="299"/>
      <c r="M14" s="300">
        <v>0</v>
      </c>
      <c r="N14" s="301">
        <f t="shared" si="2"/>
        <v>0</v>
      </c>
      <c r="O14" s="299"/>
      <c r="P14" s="300">
        <v>0</v>
      </c>
      <c r="Q14" s="301">
        <f t="shared" si="6"/>
        <v>0</v>
      </c>
      <c r="R14" s="173"/>
      <c r="S14" s="174"/>
      <c r="T14" s="175"/>
    </row>
    <row r="15" spans="1:20" x14ac:dyDescent="0.15">
      <c r="A15" s="391"/>
      <c r="B15" s="295" t="s">
        <v>149</v>
      </c>
      <c r="C15" s="302"/>
      <c r="D15" s="303"/>
      <c r="E15" s="304"/>
      <c r="F15" s="343">
        <v>1</v>
      </c>
      <c r="G15" s="344">
        <v>8000</v>
      </c>
      <c r="H15" s="345">
        <f t="shared" si="7"/>
        <v>8000</v>
      </c>
      <c r="I15" s="299"/>
      <c r="J15" s="303"/>
      <c r="K15" s="304"/>
      <c r="L15" s="302"/>
      <c r="M15" s="303"/>
      <c r="N15" s="304"/>
      <c r="O15" s="302"/>
      <c r="P15" s="303"/>
      <c r="Q15" s="304">
        <v>0</v>
      </c>
      <c r="R15" s="173"/>
      <c r="S15" s="174"/>
      <c r="T15" s="175"/>
    </row>
    <row r="16" spans="1:20" x14ac:dyDescent="0.15">
      <c r="A16" s="391"/>
      <c r="B16" s="295"/>
      <c r="C16" s="302"/>
      <c r="D16" s="303"/>
      <c r="E16" s="304" t="s">
        <v>143</v>
      </c>
      <c r="F16" s="223">
        <v>0</v>
      </c>
      <c r="G16" s="224">
        <v>0</v>
      </c>
      <c r="H16" s="222">
        <f t="shared" si="7"/>
        <v>0</v>
      </c>
      <c r="I16" s="299"/>
      <c r="J16" s="303"/>
      <c r="K16" s="304"/>
      <c r="L16" s="302"/>
      <c r="M16" s="303"/>
      <c r="N16" s="304"/>
      <c r="O16" s="302"/>
      <c r="P16" s="303"/>
      <c r="Q16" s="304">
        <v>0</v>
      </c>
      <c r="R16" s="173"/>
      <c r="S16" s="174"/>
      <c r="T16" s="175"/>
    </row>
    <row r="17" spans="1:22" ht="14.25" customHeight="1" thickBot="1" x14ac:dyDescent="0.2">
      <c r="A17" s="391"/>
      <c r="B17" s="283"/>
      <c r="C17" s="305"/>
      <c r="D17" s="306">
        <v>0</v>
      </c>
      <c r="E17" s="307">
        <f t="shared" si="4"/>
        <v>0</v>
      </c>
      <c r="F17" s="284">
        <v>0</v>
      </c>
      <c r="G17" s="285"/>
      <c r="H17" s="286">
        <f t="shared" si="0"/>
        <v>0</v>
      </c>
      <c r="I17" s="305"/>
      <c r="J17" s="306">
        <v>0</v>
      </c>
      <c r="K17" s="307">
        <f t="shared" si="1"/>
        <v>0</v>
      </c>
      <c r="L17" s="305"/>
      <c r="M17" s="306">
        <v>0</v>
      </c>
      <c r="N17" s="307">
        <f t="shared" si="2"/>
        <v>0</v>
      </c>
      <c r="O17" s="305"/>
      <c r="P17" s="306">
        <v>0</v>
      </c>
      <c r="Q17" s="307">
        <f t="shared" si="6"/>
        <v>0</v>
      </c>
      <c r="R17" s="173"/>
      <c r="S17" s="174"/>
      <c r="T17" s="175"/>
    </row>
    <row r="18" spans="1:22" ht="15" customHeight="1" thickBot="1" x14ac:dyDescent="0.2">
      <c r="A18" s="386" t="s">
        <v>20</v>
      </c>
      <c r="B18" s="177" t="s">
        <v>151</v>
      </c>
      <c r="C18" s="317"/>
      <c r="D18" s="309">
        <v>0</v>
      </c>
      <c r="E18" s="318">
        <f t="shared" si="4"/>
        <v>0</v>
      </c>
      <c r="F18" s="308"/>
      <c r="G18" s="309">
        <v>0</v>
      </c>
      <c r="H18" s="318">
        <f t="shared" si="0"/>
        <v>0</v>
      </c>
      <c r="I18" s="206">
        <v>1</v>
      </c>
      <c r="J18" s="207">
        <v>50000</v>
      </c>
      <c r="K18" s="208">
        <f t="shared" ref="K18:K21" si="8">I18*J18</f>
        <v>50000</v>
      </c>
      <c r="L18" s="308"/>
      <c r="M18" s="309">
        <v>0</v>
      </c>
      <c r="N18" s="310">
        <f t="shared" si="2"/>
        <v>0</v>
      </c>
      <c r="O18" s="308"/>
      <c r="P18" s="309">
        <v>0</v>
      </c>
      <c r="Q18" s="310">
        <v>0</v>
      </c>
      <c r="R18" s="146"/>
      <c r="S18" s="147"/>
      <c r="T18" s="178"/>
    </row>
    <row r="19" spans="1:22" ht="15" customHeight="1" x14ac:dyDescent="0.15">
      <c r="A19" s="392"/>
      <c r="B19" s="289" t="s">
        <v>152</v>
      </c>
      <c r="C19" s="319"/>
      <c r="D19" s="297"/>
      <c r="E19" s="298"/>
      <c r="F19" s="299">
        <v>0</v>
      </c>
      <c r="G19" s="300">
        <v>0</v>
      </c>
      <c r="H19" s="301">
        <f t="shared" ref="H19" si="9">F19*G19</f>
        <v>0</v>
      </c>
      <c r="I19" s="223">
        <v>1</v>
      </c>
      <c r="J19" s="207">
        <v>50000</v>
      </c>
      <c r="K19" s="214">
        <f t="shared" si="8"/>
        <v>50000</v>
      </c>
      <c r="L19" s="296"/>
      <c r="M19" s="297"/>
      <c r="N19" s="322"/>
      <c r="O19" s="296"/>
      <c r="P19" s="297"/>
      <c r="Q19" s="322">
        <v>0</v>
      </c>
      <c r="R19" s="146"/>
      <c r="S19" s="147"/>
      <c r="T19" s="178"/>
    </row>
    <row r="20" spans="1:22" ht="15" customHeight="1" x14ac:dyDescent="0.15">
      <c r="A20" s="392"/>
      <c r="B20" s="295" t="s">
        <v>149</v>
      </c>
      <c r="C20" s="319"/>
      <c r="D20" s="297"/>
      <c r="E20" s="298"/>
      <c r="F20" s="299">
        <v>0</v>
      </c>
      <c r="G20" s="300">
        <v>0</v>
      </c>
      <c r="H20" s="301">
        <f t="shared" ref="H20:H21" si="10">F20*G20</f>
        <v>0</v>
      </c>
      <c r="I20" s="343">
        <v>1</v>
      </c>
      <c r="J20" s="346">
        <v>8000</v>
      </c>
      <c r="K20" s="347">
        <f t="shared" si="8"/>
        <v>8000</v>
      </c>
      <c r="L20" s="296"/>
      <c r="M20" s="297"/>
      <c r="N20" s="322"/>
      <c r="O20" s="296"/>
      <c r="P20" s="297"/>
      <c r="Q20" s="322">
        <v>0</v>
      </c>
      <c r="R20" s="146"/>
      <c r="S20" s="147"/>
      <c r="T20" s="178"/>
    </row>
    <row r="21" spans="1:22" ht="15" customHeight="1" x14ac:dyDescent="0.15">
      <c r="A21" s="393"/>
      <c r="B21" s="295"/>
      <c r="C21" s="319"/>
      <c r="D21" s="297">
        <v>0</v>
      </c>
      <c r="E21" s="320">
        <f t="shared" si="4"/>
        <v>0</v>
      </c>
      <c r="F21" s="299">
        <v>0</v>
      </c>
      <c r="G21" s="300">
        <v>0</v>
      </c>
      <c r="H21" s="301">
        <f t="shared" si="10"/>
        <v>0</v>
      </c>
      <c r="I21" s="223">
        <v>0</v>
      </c>
      <c r="J21" s="213">
        <v>0</v>
      </c>
      <c r="K21" s="214">
        <f t="shared" si="8"/>
        <v>0</v>
      </c>
      <c r="L21" s="296"/>
      <c r="M21" s="297">
        <v>0</v>
      </c>
      <c r="N21" s="311">
        <f t="shared" si="2"/>
        <v>0</v>
      </c>
      <c r="O21" s="296"/>
      <c r="P21" s="297">
        <v>0</v>
      </c>
      <c r="Q21" s="311">
        <v>0</v>
      </c>
      <c r="R21" s="146"/>
      <c r="S21" s="147"/>
      <c r="T21" s="178"/>
    </row>
    <row r="22" spans="1:22" ht="15" customHeight="1" thickBot="1" x14ac:dyDescent="0.2">
      <c r="A22" s="388"/>
      <c r="B22" s="179"/>
      <c r="C22" s="321"/>
      <c r="D22" s="316">
        <v>0</v>
      </c>
      <c r="E22" s="314">
        <f t="shared" si="4"/>
        <v>0</v>
      </c>
      <c r="F22" s="315"/>
      <c r="G22" s="316">
        <v>0</v>
      </c>
      <c r="H22" s="314">
        <f t="shared" si="0"/>
        <v>0</v>
      </c>
      <c r="I22" s="215"/>
      <c r="J22" s="216">
        <v>0</v>
      </c>
      <c r="K22" s="217">
        <f t="shared" si="1"/>
        <v>0</v>
      </c>
      <c r="L22" s="315"/>
      <c r="M22" s="316">
        <v>0</v>
      </c>
      <c r="N22" s="314">
        <f t="shared" si="2"/>
        <v>0</v>
      </c>
      <c r="O22" s="315"/>
      <c r="P22" s="316">
        <v>0</v>
      </c>
      <c r="Q22" s="314">
        <v>0</v>
      </c>
      <c r="R22" s="146"/>
      <c r="S22" s="147"/>
      <c r="T22" s="178"/>
    </row>
    <row r="23" spans="1:22" ht="15" customHeight="1" x14ac:dyDescent="0.15">
      <c r="A23" s="399" t="s">
        <v>26</v>
      </c>
      <c r="B23" s="180" t="s">
        <v>153</v>
      </c>
      <c r="C23" s="317"/>
      <c r="D23" s="309">
        <v>0</v>
      </c>
      <c r="E23" s="318">
        <f t="shared" si="4"/>
        <v>0</v>
      </c>
      <c r="F23" s="308"/>
      <c r="G23" s="309">
        <v>0</v>
      </c>
      <c r="H23" s="310">
        <f t="shared" si="0"/>
        <v>0</v>
      </c>
      <c r="I23" s="308"/>
      <c r="J23" s="309">
        <v>0</v>
      </c>
      <c r="K23" s="310">
        <f t="shared" si="1"/>
        <v>0</v>
      </c>
      <c r="L23" s="206">
        <v>1</v>
      </c>
      <c r="M23" s="207">
        <v>100000</v>
      </c>
      <c r="N23" s="208">
        <f t="shared" si="2"/>
        <v>100000</v>
      </c>
      <c r="O23" s="329"/>
      <c r="P23" s="330"/>
      <c r="Q23" s="318">
        <v>0</v>
      </c>
      <c r="R23" s="146"/>
      <c r="S23" s="147"/>
      <c r="T23" s="178"/>
    </row>
    <row r="24" spans="1:22" ht="15" customHeight="1" x14ac:dyDescent="0.15">
      <c r="A24" s="400"/>
      <c r="B24" s="295" t="s">
        <v>154</v>
      </c>
      <c r="C24" s="323"/>
      <c r="D24" s="300"/>
      <c r="E24" s="324"/>
      <c r="F24" s="299">
        <v>0</v>
      </c>
      <c r="G24" s="300">
        <v>0</v>
      </c>
      <c r="H24" s="301">
        <f t="shared" ref="H24" si="11">F24*G24</f>
        <v>0</v>
      </c>
      <c r="I24" s="299"/>
      <c r="J24" s="300"/>
      <c r="K24" s="325"/>
      <c r="L24" s="223">
        <v>1</v>
      </c>
      <c r="M24" s="224">
        <v>30000</v>
      </c>
      <c r="N24" s="287">
        <f t="shared" si="2"/>
        <v>30000</v>
      </c>
      <c r="O24" s="331"/>
      <c r="P24" s="332"/>
      <c r="Q24" s="333">
        <v>0</v>
      </c>
      <c r="R24" s="146"/>
      <c r="S24" s="147"/>
      <c r="T24" s="178"/>
      <c r="V24" s="3" t="s">
        <v>139</v>
      </c>
    </row>
    <row r="25" spans="1:22" x14ac:dyDescent="0.15">
      <c r="A25" s="400"/>
      <c r="B25" s="295" t="s">
        <v>148</v>
      </c>
      <c r="C25" s="302"/>
      <c r="D25" s="303">
        <v>0</v>
      </c>
      <c r="E25" s="326">
        <f t="shared" si="4"/>
        <v>0</v>
      </c>
      <c r="F25" s="302"/>
      <c r="G25" s="303">
        <v>0</v>
      </c>
      <c r="H25" s="304">
        <f t="shared" si="0"/>
        <v>0</v>
      </c>
      <c r="I25" s="302"/>
      <c r="J25" s="303">
        <v>0</v>
      </c>
      <c r="K25" s="304">
        <f t="shared" si="1"/>
        <v>0</v>
      </c>
      <c r="L25" s="348">
        <v>1</v>
      </c>
      <c r="M25" s="349">
        <v>10000</v>
      </c>
      <c r="N25" s="350">
        <f t="shared" ref="N25" si="12">L25*M25</f>
        <v>10000</v>
      </c>
      <c r="O25" s="302"/>
      <c r="P25" s="303">
        <v>0</v>
      </c>
      <c r="Q25" s="326">
        <v>0</v>
      </c>
      <c r="R25" s="146"/>
      <c r="S25" s="147"/>
      <c r="T25" s="178"/>
      <c r="U25" s="3" t="s">
        <v>145</v>
      </c>
      <c r="V25" s="71" t="e">
        <f>E11+H15+K20+N25+#REF!+#REF!+#REF!+#REF!+#REF!+#REF!+#REF!+#REF!</f>
        <v>#REF!</v>
      </c>
    </row>
    <row r="26" spans="1:22" ht="15" customHeight="1" thickBot="1" x14ac:dyDescent="0.2">
      <c r="A26" s="401"/>
      <c r="B26" s="179" t="s">
        <v>149</v>
      </c>
      <c r="C26" s="321"/>
      <c r="D26" s="316">
        <v>0</v>
      </c>
      <c r="E26" s="327">
        <f t="shared" si="4"/>
        <v>0</v>
      </c>
      <c r="F26" s="315"/>
      <c r="G26" s="316">
        <v>0</v>
      </c>
      <c r="H26" s="328">
        <f t="shared" si="0"/>
        <v>0</v>
      </c>
      <c r="I26" s="315"/>
      <c r="J26" s="316">
        <v>0</v>
      </c>
      <c r="K26" s="328">
        <f t="shared" si="1"/>
        <v>0</v>
      </c>
      <c r="L26" s="212">
        <v>1</v>
      </c>
      <c r="M26" s="213">
        <v>8000</v>
      </c>
      <c r="N26" s="225">
        <f t="shared" si="2"/>
        <v>8000</v>
      </c>
      <c r="O26" s="315"/>
      <c r="P26" s="316">
        <v>0</v>
      </c>
      <c r="Q26" s="328">
        <v>0</v>
      </c>
      <c r="R26" s="146"/>
      <c r="S26" s="147"/>
      <c r="T26" s="178"/>
    </row>
    <row r="27" spans="1:22" ht="15" customHeight="1" x14ac:dyDescent="0.15">
      <c r="A27" s="405" t="s">
        <v>27</v>
      </c>
      <c r="B27" s="172" t="s">
        <v>155</v>
      </c>
      <c r="C27" s="317"/>
      <c r="D27" s="309">
        <v>0</v>
      </c>
      <c r="E27" s="318">
        <f t="shared" si="4"/>
        <v>0</v>
      </c>
      <c r="F27" s="308"/>
      <c r="G27" s="309"/>
      <c r="H27" s="310">
        <f t="shared" si="0"/>
        <v>0</v>
      </c>
      <c r="I27" s="308"/>
      <c r="J27" s="309"/>
      <c r="K27" s="310">
        <f t="shared" si="1"/>
        <v>0</v>
      </c>
      <c r="L27" s="329"/>
      <c r="M27" s="330"/>
      <c r="N27" s="318">
        <f t="shared" si="2"/>
        <v>0</v>
      </c>
      <c r="O27" s="203">
        <v>1</v>
      </c>
      <c r="P27" s="204">
        <v>40000</v>
      </c>
      <c r="Q27" s="208">
        <f t="shared" ref="Q27:Q28" si="13">O27*P27</f>
        <v>40000</v>
      </c>
      <c r="R27" s="181"/>
      <c r="S27" s="67"/>
      <c r="T27" s="178"/>
      <c r="U27" s="3" t="s">
        <v>144</v>
      </c>
      <c r="V27" s="16">
        <v>388000</v>
      </c>
    </row>
    <row r="28" spans="1:22" ht="15" customHeight="1" x14ac:dyDescent="0.15">
      <c r="A28" s="406"/>
      <c r="B28" s="177" t="s">
        <v>149</v>
      </c>
      <c r="C28" s="319"/>
      <c r="D28" s="297"/>
      <c r="E28" s="298"/>
      <c r="F28" s="299">
        <v>0</v>
      </c>
      <c r="G28" s="300">
        <v>0</v>
      </c>
      <c r="H28" s="301">
        <f t="shared" ref="H28:H29" si="14">F28*G28</f>
        <v>0</v>
      </c>
      <c r="I28" s="299"/>
      <c r="J28" s="297"/>
      <c r="K28" s="322"/>
      <c r="L28" s="334"/>
      <c r="M28" s="335"/>
      <c r="N28" s="298"/>
      <c r="O28" s="255">
        <v>1</v>
      </c>
      <c r="P28" s="282">
        <v>8000</v>
      </c>
      <c r="Q28" s="287">
        <f t="shared" si="13"/>
        <v>8000</v>
      </c>
      <c r="R28" s="181"/>
      <c r="S28" s="67"/>
      <c r="T28" s="178"/>
    </row>
    <row r="29" spans="1:22" x14ac:dyDescent="0.15">
      <c r="A29" s="406"/>
      <c r="B29" s="295"/>
      <c r="C29" s="319"/>
      <c r="D29" s="297">
        <v>0</v>
      </c>
      <c r="E29" s="320">
        <f t="shared" si="4"/>
        <v>0</v>
      </c>
      <c r="F29" s="299">
        <v>0</v>
      </c>
      <c r="G29" s="300">
        <v>0</v>
      </c>
      <c r="H29" s="301">
        <f t="shared" si="14"/>
        <v>0</v>
      </c>
      <c r="I29" s="299"/>
      <c r="J29" s="336"/>
      <c r="K29" s="311">
        <f t="shared" si="1"/>
        <v>0</v>
      </c>
      <c r="L29" s="296"/>
      <c r="M29" s="297"/>
      <c r="N29" s="320">
        <f t="shared" si="2"/>
        <v>0</v>
      </c>
      <c r="O29" s="212">
        <v>0</v>
      </c>
      <c r="P29" s="213">
        <v>0</v>
      </c>
      <c r="Q29" s="211">
        <v>0</v>
      </c>
      <c r="R29" s="181"/>
      <c r="S29" s="182"/>
      <c r="T29" s="178"/>
    </row>
    <row r="30" spans="1:22" ht="14.25" thickBot="1" x14ac:dyDescent="0.2">
      <c r="A30" s="407"/>
      <c r="B30" s="179"/>
      <c r="C30" s="321"/>
      <c r="D30" s="316">
        <v>0</v>
      </c>
      <c r="E30" s="337">
        <f t="shared" si="4"/>
        <v>0</v>
      </c>
      <c r="F30" s="315"/>
      <c r="G30" s="316"/>
      <c r="H30" s="314">
        <f t="shared" si="0"/>
        <v>0</v>
      </c>
      <c r="I30" s="312"/>
      <c r="J30" s="313"/>
      <c r="K30" s="314">
        <f t="shared" si="1"/>
        <v>0</v>
      </c>
      <c r="L30" s="315"/>
      <c r="M30" s="316"/>
      <c r="N30" s="314">
        <f t="shared" si="2"/>
        <v>0</v>
      </c>
      <c r="O30" s="218"/>
      <c r="P30" s="219"/>
      <c r="Q30" s="217">
        <v>0</v>
      </c>
      <c r="R30" s="70"/>
      <c r="S30" s="68"/>
      <c r="T30" s="69"/>
    </row>
    <row r="31" spans="1:22" x14ac:dyDescent="0.15">
      <c r="A31" s="402" t="s">
        <v>63</v>
      </c>
      <c r="B31" s="183"/>
      <c r="C31" s="212"/>
      <c r="D31" s="213">
        <v>0</v>
      </c>
      <c r="E31" s="254">
        <f>C31*D31</f>
        <v>0</v>
      </c>
      <c r="F31" s="212"/>
      <c r="G31" s="213"/>
      <c r="H31" s="225">
        <f>F31*G31</f>
        <v>0</v>
      </c>
      <c r="I31" s="212"/>
      <c r="J31" s="213"/>
      <c r="K31" s="225">
        <f t="shared" ref="K31:K32" si="15">I31*J31</f>
        <v>0</v>
      </c>
      <c r="L31" s="212"/>
      <c r="M31" s="213"/>
      <c r="N31" s="225">
        <f t="shared" ref="N31:N32" si="16">L31*M31</f>
        <v>0</v>
      </c>
      <c r="O31" s="212"/>
      <c r="P31" s="213">
        <v>0</v>
      </c>
      <c r="Q31" s="225">
        <v>0</v>
      </c>
      <c r="R31" s="181"/>
      <c r="S31" s="182"/>
      <c r="T31" s="178"/>
    </row>
    <row r="32" spans="1:22" x14ac:dyDescent="0.15">
      <c r="A32" s="403"/>
      <c r="B32" s="184"/>
      <c r="C32" s="209"/>
      <c r="D32" s="210"/>
      <c r="E32" s="214">
        <f>C32*D32</f>
        <v>0</v>
      </c>
      <c r="F32" s="209">
        <v>0</v>
      </c>
      <c r="G32" s="210">
        <v>0</v>
      </c>
      <c r="H32" s="214">
        <f>F32*G32</f>
        <v>0</v>
      </c>
      <c r="I32" s="209"/>
      <c r="J32" s="210"/>
      <c r="K32" s="214">
        <f t="shared" si="15"/>
        <v>0</v>
      </c>
      <c r="L32" s="209"/>
      <c r="M32" s="210">
        <v>0</v>
      </c>
      <c r="N32" s="214">
        <f t="shared" si="16"/>
        <v>0</v>
      </c>
      <c r="O32" s="209"/>
      <c r="P32" s="210">
        <v>0</v>
      </c>
      <c r="Q32" s="355">
        <f t="shared" ref="Q32:Q33" si="17">O32*P32</f>
        <v>0</v>
      </c>
      <c r="R32" s="148"/>
      <c r="S32" s="149"/>
      <c r="T32" s="150">
        <f>R32*S32</f>
        <v>0</v>
      </c>
    </row>
    <row r="33" spans="1:33" ht="14.25" thickBot="1" x14ac:dyDescent="0.2">
      <c r="A33" s="403"/>
      <c r="B33" s="295"/>
      <c r="C33" s="209"/>
      <c r="D33" s="210"/>
      <c r="E33" s="214"/>
      <c r="F33" s="209"/>
      <c r="G33" s="210"/>
      <c r="H33" s="214"/>
      <c r="I33" s="209"/>
      <c r="J33" s="210"/>
      <c r="K33" s="214"/>
      <c r="L33" s="209"/>
      <c r="M33" s="210"/>
      <c r="N33" s="210">
        <f>L33*M33</f>
        <v>0</v>
      </c>
      <c r="O33" s="209"/>
      <c r="P33" s="210">
        <v>0</v>
      </c>
      <c r="Q33" s="355">
        <f t="shared" si="17"/>
        <v>0</v>
      </c>
      <c r="S33" s="149"/>
      <c r="T33" s="150"/>
    </row>
    <row r="34" spans="1:33" ht="17.25" thickTop="1" x14ac:dyDescent="0.15">
      <c r="A34" s="403"/>
      <c r="B34" s="186" t="s">
        <v>59</v>
      </c>
      <c r="C34" s="209">
        <v>1</v>
      </c>
      <c r="D34" s="210">
        <v>3534</v>
      </c>
      <c r="E34" s="214">
        <f>C34*D34</f>
        <v>3534</v>
      </c>
      <c r="F34" s="209">
        <v>1</v>
      </c>
      <c r="G34" s="210">
        <v>6780</v>
      </c>
      <c r="H34" s="214">
        <f>F34*G34</f>
        <v>6780</v>
      </c>
      <c r="I34" s="209">
        <v>1</v>
      </c>
      <c r="J34" s="210">
        <v>5320</v>
      </c>
      <c r="K34" s="214">
        <f t="shared" ref="K34" si="18">I34*J34</f>
        <v>5320</v>
      </c>
      <c r="L34" s="209">
        <v>1</v>
      </c>
      <c r="M34" s="210">
        <v>3562</v>
      </c>
      <c r="N34" s="210">
        <f>L34*M34</f>
        <v>3562</v>
      </c>
      <c r="O34" s="353">
        <v>1</v>
      </c>
      <c r="P34" s="354">
        <v>7880</v>
      </c>
      <c r="Q34" s="355">
        <f>O34*P34</f>
        <v>7880</v>
      </c>
      <c r="R34" s="185"/>
      <c r="S34" s="19" t="s">
        <v>5</v>
      </c>
      <c r="T34" s="20">
        <f>SUM(T35:T35)</f>
        <v>0</v>
      </c>
    </row>
    <row r="35" spans="1:33" ht="14.25" thickBot="1" x14ac:dyDescent="0.2">
      <c r="A35" s="404"/>
      <c r="B35" s="186"/>
      <c r="C35" s="209"/>
      <c r="D35" s="210"/>
      <c r="E35" s="214">
        <f>C35*D35</f>
        <v>0</v>
      </c>
      <c r="F35" s="209"/>
      <c r="G35" s="210"/>
      <c r="H35" s="214">
        <f>F35*G35</f>
        <v>0</v>
      </c>
      <c r="I35" s="209"/>
      <c r="J35" s="210"/>
      <c r="K35" s="214">
        <f>I35*J35</f>
        <v>0</v>
      </c>
      <c r="L35" s="209"/>
      <c r="M35" s="210"/>
      <c r="N35" s="214">
        <f>L35*M35</f>
        <v>0</v>
      </c>
      <c r="O35" s="209"/>
      <c r="P35" s="210"/>
      <c r="Q35" s="214">
        <f>O35*P35</f>
        <v>0</v>
      </c>
      <c r="R35" s="166">
        <v>0</v>
      </c>
      <c r="S35" s="167">
        <v>0</v>
      </c>
      <c r="T35" s="168">
        <f>R35*S35</f>
        <v>0</v>
      </c>
    </row>
    <row r="36" spans="1:33" ht="15" thickTop="1" thickBot="1" x14ac:dyDescent="0.2">
      <c r="A36" s="187"/>
      <c r="B36" s="158"/>
      <c r="C36" s="226"/>
      <c r="D36" s="224"/>
      <c r="E36" s="225">
        <f t="shared" ref="E36" si="19">C36*D36</f>
        <v>0</v>
      </c>
      <c r="F36" s="226"/>
      <c r="G36" s="224"/>
      <c r="H36" s="214">
        <f>F36*G36</f>
        <v>0</v>
      </c>
      <c r="I36" s="226"/>
      <c r="J36" s="224"/>
      <c r="K36" s="227">
        <f>I36*J36</f>
        <v>0</v>
      </c>
      <c r="L36" s="226"/>
      <c r="M36" s="224"/>
      <c r="N36" s="227">
        <f>L36*M36</f>
        <v>0</v>
      </c>
      <c r="O36" s="226"/>
      <c r="P36" s="224">
        <v>0</v>
      </c>
      <c r="Q36" s="227">
        <f>O36*P36</f>
        <v>0</v>
      </c>
      <c r="R36" s="155"/>
      <c r="S36" s="17" t="s">
        <v>5</v>
      </c>
      <c r="T36" s="18">
        <f>SUM(T37:T38)</f>
        <v>0</v>
      </c>
    </row>
    <row r="37" spans="1:33" ht="14.25" thickTop="1" x14ac:dyDescent="0.15">
      <c r="A37" s="188" t="s">
        <v>13</v>
      </c>
      <c r="B37" s="189"/>
      <c r="C37" s="258"/>
      <c r="D37" s="259" t="s">
        <v>5</v>
      </c>
      <c r="E37" s="260">
        <f>SUM(E38:E38)</f>
        <v>0</v>
      </c>
      <c r="F37" s="258"/>
      <c r="G37" s="259" t="s">
        <v>5</v>
      </c>
      <c r="H37" s="260">
        <f>SUM(H38:H38)</f>
        <v>0</v>
      </c>
      <c r="I37" s="261"/>
      <c r="J37" s="259" t="s">
        <v>5</v>
      </c>
      <c r="K37" s="260">
        <f>SUM(K38:K38)</f>
        <v>0</v>
      </c>
      <c r="L37" s="261"/>
      <c r="M37" s="259" t="s">
        <v>5</v>
      </c>
      <c r="N37" s="260">
        <f>SUM(N38:N38)</f>
        <v>0</v>
      </c>
      <c r="O37" s="261"/>
      <c r="P37" s="259" t="s">
        <v>5</v>
      </c>
      <c r="Q37" s="260">
        <f>SUM(Q38:Q38)</f>
        <v>0</v>
      </c>
      <c r="R37" s="190">
        <v>0</v>
      </c>
      <c r="S37" s="191">
        <v>0</v>
      </c>
      <c r="T37" s="175">
        <f>R37*S37</f>
        <v>0</v>
      </c>
    </row>
    <row r="38" spans="1:33" ht="14.25" thickBot="1" x14ac:dyDescent="0.2">
      <c r="A38" s="21"/>
      <c r="B38" s="165"/>
      <c r="C38" s="242">
        <v>0</v>
      </c>
      <c r="D38" s="262">
        <v>0</v>
      </c>
      <c r="E38" s="263">
        <f>C38*D38</f>
        <v>0</v>
      </c>
      <c r="F38" s="242">
        <v>0</v>
      </c>
      <c r="G38" s="262">
        <v>0</v>
      </c>
      <c r="H38" s="263">
        <f>F38*G38</f>
        <v>0</v>
      </c>
      <c r="I38" s="245">
        <v>0</v>
      </c>
      <c r="J38" s="262">
        <v>0</v>
      </c>
      <c r="K38" s="263">
        <f>I38*J38</f>
        <v>0</v>
      </c>
      <c r="L38" s="245">
        <v>0</v>
      </c>
      <c r="M38" s="262">
        <v>0</v>
      </c>
      <c r="N38" s="263">
        <f>L38*M38</f>
        <v>0</v>
      </c>
      <c r="O38" s="245">
        <v>0</v>
      </c>
      <c r="P38" s="262">
        <v>0</v>
      </c>
      <c r="Q38" s="263">
        <f>O38*P38</f>
        <v>0</v>
      </c>
      <c r="R38" s="158"/>
      <c r="S38" s="159"/>
      <c r="T38" s="160"/>
    </row>
    <row r="39" spans="1:33" ht="15" thickTop="1" thickBot="1" x14ac:dyDescent="0.2">
      <c r="A39" s="173" t="s">
        <v>14</v>
      </c>
      <c r="B39" s="154"/>
      <c r="C39" s="212"/>
      <c r="D39" s="264" t="s">
        <v>5</v>
      </c>
      <c r="E39" s="265">
        <f>SUM(E40:E41)</f>
        <v>0</v>
      </c>
      <c r="F39" s="212"/>
      <c r="G39" s="264" t="s">
        <v>5</v>
      </c>
      <c r="H39" s="265">
        <f>SUM(H40:H41)</f>
        <v>0</v>
      </c>
      <c r="I39" s="234"/>
      <c r="J39" s="264" t="s">
        <v>5</v>
      </c>
      <c r="K39" s="265">
        <f>SUM(K40:K41)</f>
        <v>0</v>
      </c>
      <c r="L39" s="234"/>
      <c r="M39" s="264" t="s">
        <v>5</v>
      </c>
      <c r="N39" s="265">
        <f>SUM(N40:N41)</f>
        <v>0</v>
      </c>
      <c r="O39" s="234"/>
      <c r="P39" s="264" t="s">
        <v>5</v>
      </c>
      <c r="Q39" s="265">
        <f>SUM(Q40:Q41)</f>
        <v>0</v>
      </c>
      <c r="R39" s="192"/>
      <c r="S39" s="4"/>
      <c r="T39" s="5"/>
    </row>
    <row r="40" spans="1:33" x14ac:dyDescent="0.15">
      <c r="A40" s="8"/>
      <c r="B40" s="193"/>
      <c r="C40" s="209">
        <v>0</v>
      </c>
      <c r="D40" s="210">
        <v>0</v>
      </c>
      <c r="E40" s="214">
        <f>C40*D40</f>
        <v>0</v>
      </c>
      <c r="F40" s="209">
        <v>0</v>
      </c>
      <c r="G40" s="210">
        <v>0</v>
      </c>
      <c r="H40" s="214">
        <f>F40*G40</f>
        <v>0</v>
      </c>
      <c r="I40" s="266">
        <v>0</v>
      </c>
      <c r="J40" s="210">
        <v>0</v>
      </c>
      <c r="K40" s="214">
        <f>I40*J40</f>
        <v>0</v>
      </c>
      <c r="L40" s="266">
        <v>0</v>
      </c>
      <c r="M40" s="210">
        <v>0</v>
      </c>
      <c r="N40" s="214">
        <f>L40*M40</f>
        <v>0</v>
      </c>
      <c r="O40" s="266">
        <v>0</v>
      </c>
      <c r="P40" s="210">
        <v>0</v>
      </c>
      <c r="Q40" s="214">
        <f>O40*P40</f>
        <v>0</v>
      </c>
      <c r="R40" s="171"/>
      <c r="S40" s="72"/>
      <c r="T40" s="73"/>
    </row>
    <row r="41" spans="1:33" ht="14.25" thickBot="1" x14ac:dyDescent="0.2">
      <c r="A41" s="9"/>
      <c r="B41" s="157"/>
      <c r="C41" s="220"/>
      <c r="D41" s="221"/>
      <c r="E41" s="222"/>
      <c r="F41" s="220"/>
      <c r="G41" s="221"/>
      <c r="H41" s="222"/>
      <c r="I41" s="237"/>
      <c r="J41" s="221"/>
      <c r="K41" s="222"/>
      <c r="L41" s="237"/>
      <c r="M41" s="221"/>
      <c r="N41" s="222"/>
      <c r="O41" s="237"/>
      <c r="P41" s="221"/>
      <c r="Q41" s="222"/>
      <c r="R41" s="171"/>
      <c r="S41" s="72"/>
      <c r="T41" s="73"/>
    </row>
    <row r="42" spans="1:33" ht="25.5" customHeight="1" thickBot="1" x14ac:dyDescent="0.2">
      <c r="A42" s="85" t="s">
        <v>40</v>
      </c>
      <c r="B42" s="194"/>
      <c r="C42" s="267"/>
      <c r="D42" s="268" t="s">
        <v>5</v>
      </c>
      <c r="E42" s="269">
        <f>SUM(E43:E53)</f>
        <v>18700</v>
      </c>
      <c r="F42" s="267"/>
      <c r="G42" s="268" t="s">
        <v>5</v>
      </c>
      <c r="H42" s="269">
        <f>SUM(H43:H53)</f>
        <v>43500</v>
      </c>
      <c r="I42" s="270"/>
      <c r="J42" s="268" t="s">
        <v>5</v>
      </c>
      <c r="K42" s="269">
        <f>SUM(K43:K53)</f>
        <v>28900</v>
      </c>
      <c r="L42" s="270"/>
      <c r="M42" s="268" t="s">
        <v>5</v>
      </c>
      <c r="N42" s="269">
        <f>SUM(N43:N53)</f>
        <v>23900</v>
      </c>
      <c r="O42" s="270"/>
      <c r="P42" s="268" t="s">
        <v>5</v>
      </c>
      <c r="Q42" s="269">
        <f>SUM(Q43:Q53)</f>
        <v>48900</v>
      </c>
      <c r="R42" s="155"/>
      <c r="S42" s="6"/>
      <c r="T42" s="66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spans="1:33" x14ac:dyDescent="0.15">
      <c r="A43" s="74"/>
      <c r="B43" s="195"/>
      <c r="C43" s="223"/>
      <c r="D43" s="271"/>
      <c r="E43" s="272"/>
      <c r="F43" s="256">
        <v>0</v>
      </c>
      <c r="G43" s="257"/>
      <c r="H43" s="211">
        <f>F43*G43</f>
        <v>0</v>
      </c>
      <c r="I43" s="209">
        <v>0</v>
      </c>
      <c r="J43" s="210"/>
      <c r="K43" s="214">
        <f t="shared" ref="K43" si="20">I43*J43</f>
        <v>0</v>
      </c>
      <c r="L43" s="209">
        <v>0</v>
      </c>
      <c r="M43" s="210">
        <v>0</v>
      </c>
      <c r="N43" s="214">
        <f t="shared" ref="N43" si="21">L43*M43</f>
        <v>0</v>
      </c>
      <c r="O43" s="250"/>
      <c r="P43" s="271"/>
      <c r="Q43" s="272"/>
      <c r="R43" s="190"/>
      <c r="S43" s="6"/>
      <c r="T43" s="7"/>
    </row>
    <row r="44" spans="1:33" x14ac:dyDescent="0.15">
      <c r="A44" s="75"/>
      <c r="B44" s="290" t="s">
        <v>146</v>
      </c>
      <c r="C44" s="255">
        <v>1</v>
      </c>
      <c r="D44" s="273">
        <v>0</v>
      </c>
      <c r="E44" s="211">
        <f>C44*D44</f>
        <v>0</v>
      </c>
      <c r="F44" s="255"/>
      <c r="G44" s="273"/>
      <c r="H44" s="211">
        <f>F44*G44</f>
        <v>0</v>
      </c>
      <c r="I44" s="250"/>
      <c r="J44" s="273"/>
      <c r="K44" s="214">
        <f t="shared" ref="K44:K50" si="22">I44*J44</f>
        <v>0</v>
      </c>
      <c r="L44" s="250"/>
      <c r="M44" s="273"/>
      <c r="N44" s="211">
        <f>L44*M44</f>
        <v>0</v>
      </c>
      <c r="O44" s="250">
        <v>1</v>
      </c>
      <c r="P44" s="271">
        <v>20000</v>
      </c>
      <c r="Q44" s="214">
        <f t="shared" ref="Q44" si="23">O44*P44</f>
        <v>20000</v>
      </c>
      <c r="R44" s="190"/>
      <c r="S44" s="6"/>
      <c r="T44" s="7"/>
      <c r="U44" s="3" t="s">
        <v>125</v>
      </c>
    </row>
    <row r="45" spans="1:33" x14ac:dyDescent="0.15">
      <c r="A45" s="148"/>
      <c r="B45" s="196" t="s">
        <v>35</v>
      </c>
      <c r="C45" s="212">
        <v>2</v>
      </c>
      <c r="D45" s="210">
        <v>5000</v>
      </c>
      <c r="E45" s="214">
        <f t="shared" ref="E45:E59" si="24">C45*D45</f>
        <v>10000</v>
      </c>
      <c r="F45" s="212">
        <v>4</v>
      </c>
      <c r="G45" s="210">
        <v>5000</v>
      </c>
      <c r="H45" s="214">
        <f t="shared" ref="H45:H50" si="25">F45*G45</f>
        <v>20000</v>
      </c>
      <c r="I45" s="212">
        <v>3</v>
      </c>
      <c r="J45" s="210">
        <v>5000</v>
      </c>
      <c r="K45" s="214">
        <f t="shared" si="22"/>
        <v>15000</v>
      </c>
      <c r="L45" s="212">
        <v>2</v>
      </c>
      <c r="M45" s="210">
        <v>5000</v>
      </c>
      <c r="N45" s="214">
        <f t="shared" ref="N45:N50" si="26">L45*M45</f>
        <v>10000</v>
      </c>
      <c r="O45" s="212">
        <v>3</v>
      </c>
      <c r="P45" s="210">
        <v>5000</v>
      </c>
      <c r="Q45" s="214">
        <f t="shared" ref="Q45:Q50" si="27">O45*P45</f>
        <v>15000</v>
      </c>
      <c r="R45" s="190"/>
      <c r="S45" s="6"/>
      <c r="T45" s="7"/>
      <c r="U45" s="3" t="s">
        <v>123</v>
      </c>
    </row>
    <row r="46" spans="1:33" x14ac:dyDescent="0.15">
      <c r="A46" s="148"/>
      <c r="B46" s="196" t="s">
        <v>140</v>
      </c>
      <c r="C46" s="209">
        <v>2</v>
      </c>
      <c r="D46" s="210">
        <v>500</v>
      </c>
      <c r="E46" s="214">
        <f t="shared" si="24"/>
        <v>1000</v>
      </c>
      <c r="F46" s="209">
        <v>4</v>
      </c>
      <c r="G46" s="210">
        <v>500</v>
      </c>
      <c r="H46" s="214">
        <f t="shared" si="25"/>
        <v>2000</v>
      </c>
      <c r="I46" s="209">
        <v>4</v>
      </c>
      <c r="J46" s="210">
        <v>500</v>
      </c>
      <c r="K46" s="214">
        <f t="shared" si="22"/>
        <v>2000</v>
      </c>
      <c r="L46" s="209">
        <v>4</v>
      </c>
      <c r="M46" s="210">
        <v>500</v>
      </c>
      <c r="N46" s="214">
        <f t="shared" si="26"/>
        <v>2000</v>
      </c>
      <c r="O46" s="209">
        <v>4</v>
      </c>
      <c r="P46" s="210">
        <v>500</v>
      </c>
      <c r="Q46" s="214">
        <f t="shared" si="27"/>
        <v>2000</v>
      </c>
      <c r="R46" s="190"/>
      <c r="S46" s="6"/>
      <c r="T46" s="7"/>
      <c r="U46" s="3" t="s">
        <v>118</v>
      </c>
    </row>
    <row r="47" spans="1:33" x14ac:dyDescent="0.15">
      <c r="A47" s="148"/>
      <c r="B47" s="196" t="s">
        <v>44</v>
      </c>
      <c r="C47" s="209">
        <v>1</v>
      </c>
      <c r="D47" s="210">
        <v>1000</v>
      </c>
      <c r="E47" s="214">
        <f t="shared" si="24"/>
        <v>1000</v>
      </c>
      <c r="F47" s="209">
        <v>3</v>
      </c>
      <c r="G47" s="210">
        <v>1000</v>
      </c>
      <c r="H47" s="214">
        <f t="shared" si="25"/>
        <v>3000</v>
      </c>
      <c r="I47" s="209">
        <v>3</v>
      </c>
      <c r="J47" s="210">
        <v>1000</v>
      </c>
      <c r="K47" s="214">
        <f t="shared" si="22"/>
        <v>3000</v>
      </c>
      <c r="L47" s="209">
        <v>3</v>
      </c>
      <c r="M47" s="210">
        <v>1000</v>
      </c>
      <c r="N47" s="214">
        <f t="shared" si="26"/>
        <v>3000</v>
      </c>
      <c r="O47" s="209">
        <v>3</v>
      </c>
      <c r="P47" s="210">
        <v>1000</v>
      </c>
      <c r="Q47" s="214">
        <f t="shared" si="27"/>
        <v>3000</v>
      </c>
      <c r="R47" s="190"/>
      <c r="S47" s="191"/>
      <c r="T47" s="7"/>
      <c r="U47" s="3" t="s">
        <v>129</v>
      </c>
    </row>
    <row r="48" spans="1:33" x14ac:dyDescent="0.15">
      <c r="A48" s="148"/>
      <c r="B48" s="196" t="s">
        <v>45</v>
      </c>
      <c r="C48" s="209">
        <v>2</v>
      </c>
      <c r="D48" s="210">
        <v>1000</v>
      </c>
      <c r="E48" s="214">
        <f t="shared" si="24"/>
        <v>2000</v>
      </c>
      <c r="F48" s="209">
        <v>5</v>
      </c>
      <c r="G48" s="210">
        <v>1000</v>
      </c>
      <c r="H48" s="214">
        <f t="shared" si="25"/>
        <v>5000</v>
      </c>
      <c r="I48" s="209">
        <v>5</v>
      </c>
      <c r="J48" s="210">
        <v>1000</v>
      </c>
      <c r="K48" s="214">
        <f t="shared" si="22"/>
        <v>5000</v>
      </c>
      <c r="L48" s="209">
        <v>5</v>
      </c>
      <c r="M48" s="210">
        <v>1000</v>
      </c>
      <c r="N48" s="214">
        <f t="shared" si="26"/>
        <v>5000</v>
      </c>
      <c r="O48" s="209">
        <v>5</v>
      </c>
      <c r="P48" s="210">
        <v>1000</v>
      </c>
      <c r="Q48" s="214">
        <f t="shared" si="27"/>
        <v>5000</v>
      </c>
      <c r="S48" s="6"/>
      <c r="T48" s="7"/>
      <c r="U48" s="3" t="s">
        <v>129</v>
      </c>
    </row>
    <row r="49" spans="1:21" x14ac:dyDescent="0.15">
      <c r="A49" s="148"/>
      <c r="B49" s="196" t="s">
        <v>47</v>
      </c>
      <c r="C49" s="209">
        <v>1</v>
      </c>
      <c r="D49" s="210">
        <v>500</v>
      </c>
      <c r="E49" s="214">
        <f t="shared" si="24"/>
        <v>500</v>
      </c>
      <c r="F49" s="209">
        <v>5</v>
      </c>
      <c r="G49" s="210">
        <v>200</v>
      </c>
      <c r="H49" s="214">
        <f t="shared" si="25"/>
        <v>1000</v>
      </c>
      <c r="I49" s="209">
        <v>1</v>
      </c>
      <c r="J49" s="210">
        <v>200</v>
      </c>
      <c r="K49" s="214">
        <f t="shared" si="22"/>
        <v>200</v>
      </c>
      <c r="L49" s="209">
        <v>1</v>
      </c>
      <c r="M49" s="210">
        <v>200</v>
      </c>
      <c r="N49" s="214">
        <f t="shared" si="26"/>
        <v>200</v>
      </c>
      <c r="O49" s="209">
        <v>1</v>
      </c>
      <c r="P49" s="210">
        <v>200</v>
      </c>
      <c r="Q49" s="214">
        <f t="shared" si="27"/>
        <v>200</v>
      </c>
      <c r="S49" s="6"/>
      <c r="T49" s="7"/>
      <c r="U49" s="3" t="s">
        <v>132</v>
      </c>
    </row>
    <row r="50" spans="1:21" ht="14.25" thickBot="1" x14ac:dyDescent="0.2">
      <c r="A50" s="148"/>
      <c r="B50" s="196" t="s">
        <v>43</v>
      </c>
      <c r="C50" s="209">
        <v>4</v>
      </c>
      <c r="D50" s="210">
        <v>500</v>
      </c>
      <c r="E50" s="214">
        <f t="shared" si="24"/>
        <v>2000</v>
      </c>
      <c r="F50" s="209">
        <v>6</v>
      </c>
      <c r="G50" s="210">
        <v>500</v>
      </c>
      <c r="H50" s="214">
        <f t="shared" si="25"/>
        <v>3000</v>
      </c>
      <c r="I50" s="209">
        <v>3</v>
      </c>
      <c r="J50" s="210">
        <v>500</v>
      </c>
      <c r="K50" s="214">
        <f t="shared" si="22"/>
        <v>1500</v>
      </c>
      <c r="L50" s="209">
        <v>3</v>
      </c>
      <c r="M50" s="210">
        <v>500</v>
      </c>
      <c r="N50" s="214">
        <f t="shared" si="26"/>
        <v>1500</v>
      </c>
      <c r="O50" s="209">
        <v>3</v>
      </c>
      <c r="P50" s="210">
        <v>500</v>
      </c>
      <c r="Q50" s="214">
        <f t="shared" si="27"/>
        <v>1500</v>
      </c>
      <c r="R50" s="197"/>
      <c r="S50" s="6"/>
      <c r="T50" s="7"/>
      <c r="U50" s="3" t="s">
        <v>118</v>
      </c>
    </row>
    <row r="51" spans="1:21" ht="14.25" thickBot="1" x14ac:dyDescent="0.2">
      <c r="A51" s="148"/>
      <c r="B51" s="196" t="s">
        <v>42</v>
      </c>
      <c r="C51" s="226">
        <v>5</v>
      </c>
      <c r="D51" s="210">
        <v>100</v>
      </c>
      <c r="E51" s="214">
        <f>C51*D51</f>
        <v>500</v>
      </c>
      <c r="F51" s="226">
        <v>10</v>
      </c>
      <c r="G51" s="210">
        <v>100</v>
      </c>
      <c r="H51" s="214">
        <f>F51*G51</f>
        <v>1000</v>
      </c>
      <c r="I51" s="226">
        <v>2</v>
      </c>
      <c r="J51" s="210">
        <v>100</v>
      </c>
      <c r="K51" s="214">
        <f>I51*J51</f>
        <v>200</v>
      </c>
      <c r="L51" s="226">
        <v>2</v>
      </c>
      <c r="M51" s="210">
        <v>100</v>
      </c>
      <c r="N51" s="214">
        <f>L51*M51</f>
        <v>200</v>
      </c>
      <c r="O51" s="226">
        <v>2</v>
      </c>
      <c r="P51" s="210">
        <v>100</v>
      </c>
      <c r="Q51" s="214">
        <f>O51*P51</f>
        <v>200</v>
      </c>
      <c r="R51" s="192"/>
      <c r="S51" s="4"/>
      <c r="T51" s="5"/>
      <c r="U51" s="3" t="s">
        <v>132</v>
      </c>
    </row>
    <row r="52" spans="1:21" x14ac:dyDescent="0.15">
      <c r="A52" s="148"/>
      <c r="B52" s="196" t="s">
        <v>46</v>
      </c>
      <c r="C52" s="226">
        <v>1</v>
      </c>
      <c r="D52" s="210">
        <v>1000</v>
      </c>
      <c r="E52" s="214">
        <f t="shared" si="24"/>
        <v>1000</v>
      </c>
      <c r="F52" s="226">
        <v>5</v>
      </c>
      <c r="G52" s="210">
        <v>1000</v>
      </c>
      <c r="H52" s="214">
        <f t="shared" ref="H52:H53" si="28">F52*G52</f>
        <v>5000</v>
      </c>
      <c r="I52" s="226">
        <v>1</v>
      </c>
      <c r="J52" s="210">
        <v>1000</v>
      </c>
      <c r="K52" s="214">
        <f t="shared" ref="K52:K53" si="29">I52*J52</f>
        <v>1000</v>
      </c>
      <c r="L52" s="226">
        <v>1</v>
      </c>
      <c r="M52" s="210">
        <v>1000</v>
      </c>
      <c r="N52" s="214">
        <f t="shared" ref="N52:N53" si="30">L52*M52</f>
        <v>1000</v>
      </c>
      <c r="O52" s="226">
        <v>1</v>
      </c>
      <c r="P52" s="210">
        <v>1000</v>
      </c>
      <c r="Q52" s="214">
        <f t="shared" ref="Q52:Q53" si="31">O52*P52</f>
        <v>1000</v>
      </c>
      <c r="R52" s="198"/>
      <c r="S52" s="60"/>
      <c r="T52" s="53"/>
      <c r="U52" s="3" t="s">
        <v>129</v>
      </c>
    </row>
    <row r="53" spans="1:21" ht="14.25" thickBot="1" x14ac:dyDescent="0.2">
      <c r="A53" s="199"/>
      <c r="B53" s="196" t="s">
        <v>41</v>
      </c>
      <c r="C53" s="274">
        <v>1</v>
      </c>
      <c r="D53" s="210">
        <v>700</v>
      </c>
      <c r="E53" s="214">
        <f t="shared" si="24"/>
        <v>700</v>
      </c>
      <c r="F53" s="274">
        <v>5</v>
      </c>
      <c r="G53" s="210">
        <v>700</v>
      </c>
      <c r="H53" s="214">
        <f t="shared" si="28"/>
        <v>3500</v>
      </c>
      <c r="I53" s="274">
        <v>1</v>
      </c>
      <c r="J53" s="210">
        <v>1000</v>
      </c>
      <c r="K53" s="214">
        <f t="shared" si="29"/>
        <v>1000</v>
      </c>
      <c r="L53" s="274">
        <v>1</v>
      </c>
      <c r="M53" s="210">
        <v>1000</v>
      </c>
      <c r="N53" s="214">
        <f t="shared" si="30"/>
        <v>1000</v>
      </c>
      <c r="O53" s="274">
        <v>1</v>
      </c>
      <c r="P53" s="210">
        <v>1000</v>
      </c>
      <c r="Q53" s="214">
        <f t="shared" si="31"/>
        <v>1000</v>
      </c>
      <c r="R53" s="148"/>
      <c r="S53" s="54"/>
      <c r="T53" s="10"/>
      <c r="U53" s="3" t="s">
        <v>132</v>
      </c>
    </row>
    <row r="54" spans="1:21" ht="29.25" customHeight="1" thickBot="1" x14ac:dyDescent="0.2">
      <c r="A54" s="85" t="s">
        <v>34</v>
      </c>
      <c r="B54" s="194"/>
      <c r="C54" s="267"/>
      <c r="D54" s="268" t="s">
        <v>5</v>
      </c>
      <c r="E54" s="269">
        <f>SUM(E55:E59)</f>
        <v>14500</v>
      </c>
      <c r="F54" s="267"/>
      <c r="G54" s="268" t="s">
        <v>5</v>
      </c>
      <c r="H54" s="269">
        <f>SUM(H55:H59)</f>
        <v>31000</v>
      </c>
      <c r="I54" s="270"/>
      <c r="J54" s="268" t="s">
        <v>5</v>
      </c>
      <c r="K54" s="269">
        <f>SUM(K55:K59)</f>
        <v>24500</v>
      </c>
      <c r="L54" s="270"/>
      <c r="M54" s="268" t="s">
        <v>5</v>
      </c>
      <c r="N54" s="269">
        <f>SUM(N55:N59)</f>
        <v>24500</v>
      </c>
      <c r="O54" s="270"/>
      <c r="P54" s="268" t="s">
        <v>5</v>
      </c>
      <c r="Q54" s="269">
        <f>SUM(Q55:Q59)</f>
        <v>24500</v>
      </c>
      <c r="R54" s="148"/>
      <c r="S54" s="54"/>
      <c r="T54" s="10"/>
    </row>
    <row r="55" spans="1:21" ht="20.25" x14ac:dyDescent="0.15">
      <c r="A55" s="200"/>
      <c r="B55" s="279" t="s">
        <v>36</v>
      </c>
      <c r="C55" s="275">
        <v>20</v>
      </c>
      <c r="D55" s="276">
        <v>200</v>
      </c>
      <c r="E55" s="214">
        <f t="shared" si="24"/>
        <v>4000</v>
      </c>
      <c r="F55" s="275">
        <v>30</v>
      </c>
      <c r="G55" s="276">
        <v>200</v>
      </c>
      <c r="H55" s="214">
        <f t="shared" ref="H55:H58" si="32">F55*G55</f>
        <v>6000</v>
      </c>
      <c r="I55" s="275">
        <v>40</v>
      </c>
      <c r="J55" s="276">
        <v>200</v>
      </c>
      <c r="K55" s="214">
        <f t="shared" ref="K55:K58" si="33">I55*J55</f>
        <v>8000</v>
      </c>
      <c r="L55" s="275">
        <v>40</v>
      </c>
      <c r="M55" s="276">
        <v>200</v>
      </c>
      <c r="N55" s="214">
        <f t="shared" ref="N55:N58" si="34">L55*M55</f>
        <v>8000</v>
      </c>
      <c r="O55" s="275">
        <v>40</v>
      </c>
      <c r="P55" s="276">
        <v>200</v>
      </c>
      <c r="Q55" s="214">
        <f t="shared" ref="Q55:Q59" si="35">O55*P55</f>
        <v>8000</v>
      </c>
      <c r="R55" s="148"/>
      <c r="S55" s="54"/>
      <c r="T55" s="10"/>
      <c r="U55" s="3" t="s">
        <v>121</v>
      </c>
    </row>
    <row r="56" spans="1:21" x14ac:dyDescent="0.15">
      <c r="A56" s="148"/>
      <c r="B56" s="196" t="s">
        <v>114</v>
      </c>
      <c r="C56" s="226">
        <v>5</v>
      </c>
      <c r="D56" s="213">
        <v>500</v>
      </c>
      <c r="E56" s="214">
        <f t="shared" si="24"/>
        <v>2500</v>
      </c>
      <c r="F56" s="226">
        <v>9</v>
      </c>
      <c r="G56" s="213">
        <v>1000</v>
      </c>
      <c r="H56" s="214">
        <f>F56*G56</f>
        <v>9000</v>
      </c>
      <c r="I56" s="226">
        <v>8</v>
      </c>
      <c r="J56" s="213">
        <v>1000</v>
      </c>
      <c r="K56" s="214">
        <f t="shared" si="33"/>
        <v>8000</v>
      </c>
      <c r="L56" s="226">
        <v>8</v>
      </c>
      <c r="M56" s="213">
        <v>1000</v>
      </c>
      <c r="N56" s="214">
        <f t="shared" si="34"/>
        <v>8000</v>
      </c>
      <c r="O56" s="226">
        <v>8</v>
      </c>
      <c r="P56" s="213">
        <v>1000</v>
      </c>
      <c r="Q56" s="214">
        <f t="shared" si="35"/>
        <v>8000</v>
      </c>
      <c r="R56" s="148"/>
      <c r="S56" s="54"/>
      <c r="T56" s="10"/>
      <c r="U56" s="3" t="s">
        <v>127</v>
      </c>
    </row>
    <row r="57" spans="1:21" x14ac:dyDescent="0.15">
      <c r="A57" s="148"/>
      <c r="B57" s="196" t="s">
        <v>116</v>
      </c>
      <c r="C57" s="226">
        <v>2</v>
      </c>
      <c r="D57" s="213">
        <v>1000</v>
      </c>
      <c r="E57" s="214">
        <f t="shared" si="24"/>
        <v>2000</v>
      </c>
      <c r="F57" s="226">
        <v>5</v>
      </c>
      <c r="G57" s="213">
        <v>1000</v>
      </c>
      <c r="H57" s="214">
        <f t="shared" si="32"/>
        <v>5000</v>
      </c>
      <c r="I57" s="226">
        <v>1</v>
      </c>
      <c r="J57" s="213">
        <v>1000</v>
      </c>
      <c r="K57" s="214">
        <f t="shared" si="33"/>
        <v>1000</v>
      </c>
      <c r="L57" s="226">
        <v>1</v>
      </c>
      <c r="M57" s="213">
        <v>1000</v>
      </c>
      <c r="N57" s="214">
        <f t="shared" si="34"/>
        <v>1000</v>
      </c>
      <c r="O57" s="226">
        <v>1</v>
      </c>
      <c r="P57" s="213">
        <v>1000</v>
      </c>
      <c r="Q57" s="214">
        <f t="shared" si="35"/>
        <v>1000</v>
      </c>
      <c r="R57" s="148"/>
      <c r="S57" s="54"/>
      <c r="T57" s="10"/>
      <c r="U57" s="3" t="s">
        <v>127</v>
      </c>
    </row>
    <row r="58" spans="1:21" x14ac:dyDescent="0.15">
      <c r="A58" s="148"/>
      <c r="B58" s="196" t="s">
        <v>102</v>
      </c>
      <c r="C58" s="226">
        <v>2</v>
      </c>
      <c r="D58" s="213">
        <v>500</v>
      </c>
      <c r="E58" s="214">
        <f t="shared" si="24"/>
        <v>1000</v>
      </c>
      <c r="F58" s="226">
        <v>10</v>
      </c>
      <c r="G58" s="213">
        <v>500</v>
      </c>
      <c r="H58" s="214">
        <f t="shared" si="32"/>
        <v>5000</v>
      </c>
      <c r="I58" s="226">
        <v>3</v>
      </c>
      <c r="J58" s="213">
        <v>500</v>
      </c>
      <c r="K58" s="214">
        <f t="shared" si="33"/>
        <v>1500</v>
      </c>
      <c r="L58" s="226">
        <v>3</v>
      </c>
      <c r="M58" s="213">
        <v>500</v>
      </c>
      <c r="N58" s="214">
        <f t="shared" si="34"/>
        <v>1500</v>
      </c>
      <c r="O58" s="226">
        <v>3</v>
      </c>
      <c r="P58" s="213">
        <v>500</v>
      </c>
      <c r="Q58" s="214">
        <f t="shared" si="35"/>
        <v>1500</v>
      </c>
      <c r="R58" s="148"/>
      <c r="S58" s="54"/>
      <c r="T58" s="10"/>
      <c r="U58" s="3" t="s">
        <v>127</v>
      </c>
    </row>
    <row r="59" spans="1:21" ht="21" thickBot="1" x14ac:dyDescent="0.2">
      <c r="A59" s="199"/>
      <c r="B59" s="280" t="s">
        <v>37</v>
      </c>
      <c r="C59" s="274">
        <v>25</v>
      </c>
      <c r="D59" s="277">
        <v>200</v>
      </c>
      <c r="E59" s="278">
        <f t="shared" si="24"/>
        <v>5000</v>
      </c>
      <c r="F59" s="274">
        <v>30</v>
      </c>
      <c r="G59" s="277">
        <v>200</v>
      </c>
      <c r="H59" s="278">
        <f t="shared" ref="H59" si="36">F59*G59</f>
        <v>6000</v>
      </c>
      <c r="I59" s="274">
        <v>30</v>
      </c>
      <c r="J59" s="277">
        <v>200</v>
      </c>
      <c r="K59" s="278">
        <f t="shared" ref="K59" si="37">I59*J59</f>
        <v>6000</v>
      </c>
      <c r="L59" s="274">
        <v>30</v>
      </c>
      <c r="M59" s="277">
        <v>200</v>
      </c>
      <c r="N59" s="278">
        <f t="shared" ref="N59" si="38">L59*M59</f>
        <v>6000</v>
      </c>
      <c r="O59" s="274">
        <v>30</v>
      </c>
      <c r="P59" s="277">
        <v>200</v>
      </c>
      <c r="Q59" s="278">
        <f t="shared" si="35"/>
        <v>6000</v>
      </c>
      <c r="T59" s="201">
        <f>총괄!H5*0.1</f>
        <v>0</v>
      </c>
      <c r="U59" s="3" t="s">
        <v>120</v>
      </c>
    </row>
    <row r="60" spans="1:21" x14ac:dyDescent="0.15">
      <c r="T60" s="43">
        <f>총괄!H13</f>
        <v>0</v>
      </c>
    </row>
    <row r="61" spans="1:21" x14ac:dyDescent="0.15">
      <c r="E61" s="43">
        <f>총괄!C13</f>
        <v>195000</v>
      </c>
      <c r="F61" s="16"/>
      <c r="G61" s="16"/>
      <c r="H61" s="43">
        <f>총괄!D13</f>
        <v>316000</v>
      </c>
      <c r="I61" s="16"/>
      <c r="J61" s="16"/>
      <c r="K61" s="43">
        <f>총괄!E13</f>
        <v>316000</v>
      </c>
      <c r="L61" s="16"/>
      <c r="M61" s="16"/>
      <c r="N61" s="43">
        <f>총괄!F13</f>
        <v>316000</v>
      </c>
      <c r="O61" s="16"/>
      <c r="P61" s="16"/>
      <c r="Q61" s="43">
        <f>총괄!G13</f>
        <v>316000</v>
      </c>
      <c r="U61" s="71">
        <f>SUM(E61:Q61)</f>
        <v>1459000</v>
      </c>
    </row>
    <row r="62" spans="1:21" x14ac:dyDescent="0.15">
      <c r="B62" s="408" t="s">
        <v>106</v>
      </c>
      <c r="C62" s="408"/>
      <c r="D62" s="408"/>
      <c r="E62" s="98">
        <f>총괄!C3</f>
        <v>195000</v>
      </c>
      <c r="F62" s="98"/>
      <c r="G62" s="98"/>
      <c r="H62" s="98">
        <f>총괄!D3</f>
        <v>316000</v>
      </c>
      <c r="I62" s="98"/>
      <c r="J62" s="98"/>
      <c r="K62" s="103">
        <f>총괄!E3</f>
        <v>316000</v>
      </c>
      <c r="L62" s="98"/>
      <c r="M62" s="98"/>
      <c r="N62" s="103">
        <f>총괄!F3</f>
        <v>316000</v>
      </c>
      <c r="O62" s="98"/>
      <c r="P62" s="98"/>
      <c r="Q62" s="103">
        <f>총괄!G3</f>
        <v>316000</v>
      </c>
    </row>
    <row r="63" spans="1:21" ht="33" customHeight="1" x14ac:dyDescent="0.15">
      <c r="B63" s="408" t="s">
        <v>107</v>
      </c>
      <c r="C63" s="408"/>
      <c r="D63" s="408"/>
      <c r="E63" s="202">
        <f>E61-E62</f>
        <v>0</v>
      </c>
      <c r="F63" s="202"/>
      <c r="G63" s="202"/>
      <c r="H63" s="101">
        <f t="shared" ref="H63:K63" si="39">H61-H62</f>
        <v>0</v>
      </c>
      <c r="I63" s="101"/>
      <c r="J63" s="101"/>
      <c r="K63" s="101">
        <f t="shared" si="39"/>
        <v>0</v>
      </c>
      <c r="L63" s="101"/>
      <c r="M63" s="101"/>
      <c r="N63" s="101">
        <f>N61-N62</f>
        <v>0</v>
      </c>
      <c r="O63" s="101"/>
      <c r="P63" s="101"/>
      <c r="Q63" s="101">
        <f>Q61-Q62</f>
        <v>0</v>
      </c>
      <c r="R63" s="103">
        <v>331209</v>
      </c>
      <c r="U63" s="103"/>
    </row>
    <row r="65" spans="3:23" x14ac:dyDescent="0.15"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</row>
    <row r="67" spans="3:23" x14ac:dyDescent="0.15">
      <c r="E67" s="51"/>
      <c r="H67" s="51"/>
      <c r="K67" s="51"/>
      <c r="N67" s="51"/>
      <c r="Q67" s="51"/>
    </row>
    <row r="68" spans="3:23" x14ac:dyDescent="0.15"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 spans="3:23" x14ac:dyDescent="0.15">
      <c r="C69" s="398"/>
      <c r="D69" s="398"/>
      <c r="E69" s="294">
        <f t="shared" ref="E69:E77" si="40">SUMIF($U$44:$U$59,$U69,E$44:E$59)</f>
        <v>3000</v>
      </c>
      <c r="H69" s="294">
        <f t="shared" ref="H69:H77" si="41">SUMIF($U$44:$U$59,$U69,H$44:H$59)</f>
        <v>5000</v>
      </c>
      <c r="K69" s="294">
        <f t="shared" ref="K69:K77" si="42">SUMIF($U$44:$U$59,$U69,K$44:K$59)</f>
        <v>3500</v>
      </c>
      <c r="N69" s="294">
        <f t="shared" ref="N69:N77" si="43">SUMIF($U$44:$U$59,$U69,N$44:N$59)</f>
        <v>3500</v>
      </c>
      <c r="Q69" s="294">
        <f t="shared" ref="Q69:Q77" si="44">SUMIF($U$44:$U$59,$U69,Q$44:Q$59)</f>
        <v>3500</v>
      </c>
      <c r="U69" s="3" t="s">
        <v>119</v>
      </c>
      <c r="W69" s="3" t="s">
        <v>136</v>
      </c>
    </row>
    <row r="70" spans="3:23" x14ac:dyDescent="0.15">
      <c r="E70" s="294">
        <f t="shared" si="40"/>
        <v>5000</v>
      </c>
      <c r="H70" s="294">
        <f t="shared" si="41"/>
        <v>6000</v>
      </c>
      <c r="K70" s="294">
        <f t="shared" si="42"/>
        <v>6000</v>
      </c>
      <c r="N70" s="294">
        <f t="shared" si="43"/>
        <v>6000</v>
      </c>
      <c r="Q70" s="294">
        <f t="shared" si="44"/>
        <v>6000</v>
      </c>
      <c r="U70" s="3" t="s">
        <v>37</v>
      </c>
    </row>
    <row r="71" spans="3:23" x14ac:dyDescent="0.15">
      <c r="E71" s="294">
        <f t="shared" si="40"/>
        <v>4000</v>
      </c>
      <c r="H71" s="294">
        <f t="shared" si="41"/>
        <v>6000</v>
      </c>
      <c r="K71" s="294">
        <f t="shared" si="42"/>
        <v>8000</v>
      </c>
      <c r="N71" s="294">
        <f t="shared" si="43"/>
        <v>8000</v>
      </c>
      <c r="Q71" s="294">
        <f t="shared" si="44"/>
        <v>8000</v>
      </c>
      <c r="U71" s="3" t="s">
        <v>122</v>
      </c>
    </row>
    <row r="72" spans="3:23" x14ac:dyDescent="0.15">
      <c r="E72" s="294">
        <f t="shared" si="40"/>
        <v>10000</v>
      </c>
      <c r="H72" s="294">
        <f t="shared" si="41"/>
        <v>20000</v>
      </c>
      <c r="K72" s="294">
        <f t="shared" si="42"/>
        <v>15000</v>
      </c>
      <c r="N72" s="294">
        <f t="shared" si="43"/>
        <v>10000</v>
      </c>
      <c r="Q72" s="294">
        <f t="shared" si="44"/>
        <v>15000</v>
      </c>
      <c r="U72" s="3" t="s">
        <v>124</v>
      </c>
    </row>
    <row r="73" spans="3:23" x14ac:dyDescent="0.15">
      <c r="E73" s="294">
        <f t="shared" si="40"/>
        <v>0</v>
      </c>
      <c r="H73" s="294">
        <f t="shared" si="41"/>
        <v>0</v>
      </c>
      <c r="K73" s="294">
        <f t="shared" si="42"/>
        <v>0</v>
      </c>
      <c r="N73" s="294">
        <f t="shared" si="43"/>
        <v>0</v>
      </c>
      <c r="Q73" s="294">
        <f t="shared" si="44"/>
        <v>20000</v>
      </c>
      <c r="U73" s="3" t="s">
        <v>126</v>
      </c>
    </row>
    <row r="74" spans="3:23" x14ac:dyDescent="0.15">
      <c r="E74" s="294">
        <f t="shared" si="40"/>
        <v>5500</v>
      </c>
      <c r="H74" s="294">
        <f t="shared" si="41"/>
        <v>19000</v>
      </c>
      <c r="K74" s="294">
        <f t="shared" si="42"/>
        <v>10500</v>
      </c>
      <c r="N74" s="294">
        <f t="shared" si="43"/>
        <v>10500</v>
      </c>
      <c r="Q74" s="294">
        <f t="shared" si="44"/>
        <v>10500</v>
      </c>
      <c r="U74" s="3" t="s">
        <v>128</v>
      </c>
      <c r="W74" s="3" t="s">
        <v>135</v>
      </c>
    </row>
    <row r="75" spans="3:23" x14ac:dyDescent="0.15">
      <c r="E75" s="294">
        <f t="shared" si="40"/>
        <v>4000</v>
      </c>
      <c r="H75" s="294">
        <f t="shared" si="41"/>
        <v>13000</v>
      </c>
      <c r="K75" s="294">
        <f t="shared" si="42"/>
        <v>9000</v>
      </c>
      <c r="N75" s="294">
        <f t="shared" si="43"/>
        <v>9000</v>
      </c>
      <c r="Q75" s="294">
        <f t="shared" si="44"/>
        <v>9000</v>
      </c>
      <c r="U75" s="3" t="s">
        <v>130</v>
      </c>
      <c r="W75" s="3" t="s">
        <v>134</v>
      </c>
    </row>
    <row r="76" spans="3:23" x14ac:dyDescent="0.15">
      <c r="E76" s="294">
        <f t="shared" si="40"/>
        <v>0</v>
      </c>
      <c r="H76" s="294">
        <f t="shared" si="41"/>
        <v>0</v>
      </c>
      <c r="K76" s="294">
        <f t="shared" si="42"/>
        <v>0</v>
      </c>
      <c r="N76" s="294">
        <f t="shared" si="43"/>
        <v>0</v>
      </c>
      <c r="Q76" s="294">
        <f t="shared" si="44"/>
        <v>0</v>
      </c>
      <c r="U76" s="3" t="s">
        <v>131</v>
      </c>
    </row>
    <row r="77" spans="3:23" x14ac:dyDescent="0.15">
      <c r="E77" s="294">
        <f t="shared" si="40"/>
        <v>1700</v>
      </c>
      <c r="H77" s="294">
        <f t="shared" si="41"/>
        <v>5500</v>
      </c>
      <c r="K77" s="294">
        <f t="shared" si="42"/>
        <v>1400</v>
      </c>
      <c r="N77" s="294">
        <f t="shared" si="43"/>
        <v>1400</v>
      </c>
      <c r="Q77" s="294">
        <f t="shared" si="44"/>
        <v>1400</v>
      </c>
      <c r="U77" s="3" t="s">
        <v>133</v>
      </c>
      <c r="W77" s="3" t="s">
        <v>137</v>
      </c>
    </row>
    <row r="78" spans="3:23" x14ac:dyDescent="0.15">
      <c r="E78" s="294"/>
      <c r="H78" s="294"/>
      <c r="K78" s="294"/>
      <c r="N78" s="294"/>
      <c r="Q78" s="294"/>
    </row>
    <row r="79" spans="3:23" x14ac:dyDescent="0.15">
      <c r="E79" s="294">
        <f>SUM(E69:E77)</f>
        <v>33200</v>
      </c>
      <c r="H79" s="294">
        <f>SUM(H69:H77)</f>
        <v>74500</v>
      </c>
      <c r="K79" s="294">
        <f>SUM(K69:K77)</f>
        <v>53400</v>
      </c>
      <c r="N79" s="294">
        <f>SUM(N69:N77)</f>
        <v>48400</v>
      </c>
      <c r="Q79" s="294">
        <f>SUM(Q69:Q77)</f>
        <v>73400</v>
      </c>
    </row>
  </sheetData>
  <mergeCells count="17">
    <mergeCell ref="C69:D69"/>
    <mergeCell ref="A23:A26"/>
    <mergeCell ref="A31:A35"/>
    <mergeCell ref="A27:A30"/>
    <mergeCell ref="B62:D62"/>
    <mergeCell ref="B63:D63"/>
    <mergeCell ref="A10:A12"/>
    <mergeCell ref="A13:A17"/>
    <mergeCell ref="A18:A22"/>
    <mergeCell ref="A1:A2"/>
    <mergeCell ref="C1:E1"/>
    <mergeCell ref="B1:B2"/>
    <mergeCell ref="F1:H1"/>
    <mergeCell ref="O1:Q1"/>
    <mergeCell ref="L1:N1"/>
    <mergeCell ref="I1:K1"/>
    <mergeCell ref="R1:T1"/>
  </mergeCells>
  <phoneticPr fontId="2" type="noConversion"/>
  <dataValidations disablePrompts="1" count="1">
    <dataValidation type="list" allowBlank="1" showInputMessage="1" showErrorMessage="1" sqref="U55:U59 U44:U53" xr:uid="{00000000-0002-0000-0200-000000000000}">
      <formula1>$U$69:$U$77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총괄</vt:lpstr>
      <vt:lpstr>인건비</vt:lpstr>
      <vt:lpstr>직접비</vt:lpstr>
      <vt:lpstr>인건비!Print_Area</vt:lpstr>
      <vt:lpstr>직접비!Print_Area</vt:lpstr>
      <vt:lpstr>총괄!Print_Area</vt:lpstr>
    </vt:vector>
  </TitlesOfParts>
  <Company>kimm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성훈 조</cp:lastModifiedBy>
  <cp:lastPrinted>2018-09-11T01:00:39Z</cp:lastPrinted>
  <dcterms:created xsi:type="dcterms:W3CDTF">2002-05-28T00:14:52Z</dcterms:created>
  <dcterms:modified xsi:type="dcterms:W3CDTF">2026-02-13T19:10:58Z</dcterms:modified>
</cp:coreProperties>
</file>